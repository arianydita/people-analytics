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ghamarha/public-repo/people-analytics/"/>
    </mc:Choice>
  </mc:AlternateContent>
  <xr:revisionPtr revIDLastSave="0" documentId="13_ncr:1_{8C4654E3-20FB-A540-B87B-79890C5D9058}" xr6:coauthVersionLast="47" xr6:coauthVersionMax="47" xr10:uidLastSave="{00000000-0000-0000-0000-000000000000}"/>
  <bookViews>
    <workbookView xWindow="-20" yWindow="740" windowWidth="37320" windowHeight="16660" activeTab="1" xr2:uid="{50C454C3-D283-2348-83CC-BE262033B8E7}"/>
  </bookViews>
  <sheets>
    <sheet name="HRDataset" sheetId="7" r:id="rId1"/>
    <sheet name="Demographic Data" sheetId="5" r:id="rId2"/>
    <sheet name="Dashboard" sheetId="8" r:id="rId3"/>
  </sheets>
  <definedNames>
    <definedName name="_xlnm._FilterDatabase" localSheetId="1" hidden="1">'Demographic Data'!$K$30:$L$341</definedName>
    <definedName name="ExternalData_3" localSheetId="0" hidden="1">HRDataset!$A$1:$AP$312</definedName>
    <definedName name="Slicer_Department">#N/A</definedName>
  </definedNames>
  <calcPr calcId="191029"/>
  <pivotCaches>
    <pivotCache cacheId="4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 i="5" l="1"/>
  <c r="H10" i="5"/>
  <c r="H9" i="5"/>
  <c r="B14" i="5" a="1"/>
  <c r="B51" i="5" a="1"/>
  <c r="B39" i="5" a="1"/>
  <c r="E52" i="5" l="1" a="1"/>
  <c r="D52" i="5" a="1"/>
  <c r="D51" i="5" a="1"/>
  <c r="E54" i="5" a="1"/>
  <c r="E53" i="5" a="1"/>
  <c r="E51" i="5" a="1"/>
  <c r="D54" i="5" a="1"/>
  <c r="D53" i="5" a="1"/>
  <c r="C54" i="5" a="1"/>
  <c r="C53" i="5" a="1"/>
  <c r="C52" i="5" a="1"/>
  <c r="C51" i="5" a="1"/>
  <c r="E41" i="5" a="1"/>
  <c r="E47" i="5" a="1"/>
  <c r="E43" i="5" a="1"/>
  <c r="E46" i="5" a="1"/>
  <c r="E45" i="5" a="1"/>
  <c r="E44" i="5" a="1"/>
  <c r="E42" i="5" a="1"/>
  <c r="E40" i="5" a="1"/>
  <c r="E39" i="5" a="1"/>
  <c r="D46" i="5" a="1"/>
  <c r="D47" i="5" a="1"/>
  <c r="D44" i="5" a="1"/>
  <c r="D45" i="5" a="1"/>
  <c r="D42" i="5" a="1"/>
  <c r="D43" i="5" a="1"/>
  <c r="C42" i="5" a="1"/>
  <c r="D41" i="5" a="1"/>
  <c r="D40" i="5" a="1"/>
  <c r="D39" i="5" a="1"/>
  <c r="C40" i="5" a="1"/>
  <c r="E35" i="5" a="1"/>
  <c r="C47" i="5" a="1"/>
  <c r="C46" i="5" a="1"/>
  <c r="C44" i="5" a="1"/>
  <c r="C43" i="5" a="1"/>
  <c r="C41" i="5" a="1"/>
  <c r="C39" i="5" a="1"/>
  <c r="C45" i="5" a="1"/>
  <c r="E33" i="5" a="1"/>
  <c r="E34" i="5" a="1"/>
  <c r="E31" i="5" a="1"/>
  <c r="E32" i="5" a="1"/>
  <c r="D35" i="5" a="1"/>
  <c r="D32" i="5" a="1"/>
  <c r="D31" i="5" a="1"/>
  <c r="D34" i="5" a="1"/>
  <c r="D33" i="5" a="1"/>
  <c r="C35" i="5" a="1"/>
  <c r="C34" i="5" a="1"/>
  <c r="C33" i="5" a="1"/>
  <c r="C32" i="5" a="1"/>
  <c r="C31" i="5" a="1"/>
  <c r="E27" i="5" a="1"/>
  <c r="E26" i="5" a="1"/>
  <c r="E24" i="5" a="1"/>
  <c r="E25" i="5" a="1"/>
  <c r="E23" i="5" a="1"/>
  <c r="D23" i="5" a="1"/>
  <c r="D27" i="5" a="1"/>
  <c r="D26" i="5" a="1"/>
  <c r="D25" i="5" a="1"/>
  <c r="D24" i="5" a="1"/>
  <c r="C23" i="5" a="1"/>
  <c r="C27" i="5" a="1"/>
  <c r="C24" i="5" a="1"/>
  <c r="C26" i="5" a="1"/>
  <c r="C25" i="5" a="1"/>
  <c r="E14" i="5"/>
  <c r="E19" i="5"/>
  <c r="E17" i="5"/>
  <c r="E16" i="5"/>
  <c r="E15" i="5"/>
  <c r="E18" i="5"/>
  <c r="D14" i="5"/>
  <c r="D19" i="5"/>
  <c r="D18" i="5"/>
  <c r="D17" i="5"/>
  <c r="D16" i="5"/>
  <c r="D15" i="5"/>
  <c r="C14" i="5"/>
  <c r="C19" i="5"/>
  <c r="C16" i="5"/>
  <c r="C15" i="5"/>
  <c r="C18" i="5"/>
  <c r="C17" i="5"/>
  <c r="E9" i="5"/>
  <c r="D9" i="5"/>
  <c r="C9" i="5"/>
  <c r="C10" i="5" s="1"/>
  <c r="E10" i="5" l="1"/>
  <c r="D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BDE533-01E4-2141-8CD5-98F7906EEC9A}" keepAlive="1" name="Query - current_date" description="Connection to the 'current_date' query in the workbook." type="5" refreshedVersion="8" background="1" saveData="1">
    <dbPr connection="Provider=Microsoft.Mashup.OleDb.1;Data Source=$Workbook$;Location=current_date;Extended Properties=&quot;&quot;" command="SELECT * FROM [current_date]"/>
  </connection>
  <connection id="2" xr16:uid="{D8ED2028-F82F-0842-8833-6F92E49614D9}" keepAlive="1" name="Query - emp_text_path" description="Connection to the 'emp_text_path' query in the workbook." type="5" refreshedVersion="0" background="1">
    <dbPr connection="Provider=Microsoft.Mashup.OleDb.1;Data Source=$Workbook$;Location=emp_text_path;Extended Properties=&quot;&quot;" command="SELECT * FROM [emp_text_path]"/>
  </connection>
  <connection id="3" xr16:uid="{AD7A6A4F-5D96-9A47-A0F3-9A9A56C60061}" keepAlive="1" name="Query - HRDataset" description="Connection to the 'HRDataset' query in the workbook." type="5" refreshedVersion="8" background="1" saveData="1">
    <dbPr connection="Provider=Microsoft.Mashup.OleDb.1;Data Source=$Workbook$;Location=HRDataset;Extended Properties=&quot;&quot;" command="SELECT * FROM [HRDatase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<sst xmlns="http://schemas.openxmlformats.org/spreadsheetml/2006/main" count="5357" uniqueCount="542">
  <si>
    <t>Path</t>
  </si>
  <si>
    <t>Department</t>
  </si>
  <si>
    <t>Age</t>
  </si>
  <si>
    <t>Male</t>
  </si>
  <si>
    <t>Female</t>
  </si>
  <si>
    <t>Sales</t>
  </si>
  <si>
    <t>Other</t>
  </si>
  <si>
    <t>Date</t>
  </si>
  <si>
    <t>Employee_Name</t>
  </si>
  <si>
    <t>EmpID</t>
  </si>
  <si>
    <t>MarriedID</t>
  </si>
  <si>
    <t>MaritalStatusID</t>
  </si>
  <si>
    <t>GenderID</t>
  </si>
  <si>
    <t>EmpStatusID</t>
  </si>
  <si>
    <t>DeptID</t>
  </si>
  <si>
    <t>PerfScoreID</t>
  </si>
  <si>
    <t>FromDiversityJobFairID</t>
  </si>
  <si>
    <t>Salary</t>
  </si>
  <si>
    <t>Termd</t>
  </si>
  <si>
    <t>PositionID</t>
  </si>
  <si>
    <t>Position</t>
  </si>
  <si>
    <t>State</t>
  </si>
  <si>
    <t>Zip</t>
  </si>
  <si>
    <t>Sex</t>
  </si>
  <si>
    <t>MaritalDesc</t>
  </si>
  <si>
    <t>CitizenDesc</t>
  </si>
  <si>
    <t>HispanicLatino</t>
  </si>
  <si>
    <t>RaceDesc</t>
  </si>
  <si>
    <t>Latest_DateofHire</t>
  </si>
  <si>
    <t>Latest_DateofTermination</t>
  </si>
  <si>
    <t>TermReason</t>
  </si>
  <si>
    <t>EmploymentStatus</t>
  </si>
  <si>
    <t>ManagerName</t>
  </si>
  <si>
    <t>ManagerID</t>
  </si>
  <si>
    <t>RecruitmentSource</t>
  </si>
  <si>
    <t>PerformanceScore</t>
  </si>
  <si>
    <t>EngagementSurvey</t>
  </si>
  <si>
    <t>EmpSatisfaction</t>
  </si>
  <si>
    <t>SpecialProjectsCount</t>
  </si>
  <si>
    <t>Latest_PerformanceReview_Date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</si>
  <si>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</si>
  <si>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</si>
  <si>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</si>
  <si>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</si>
  <si>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</si>
  <si>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</si>
  <si>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</si>
  <si>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</si>
  <si>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</si>
  <si>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</si>
  <si>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</si>
  <si>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</si>
  <si>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</si>
  <si>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</si>
  <si>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</si>
  <si>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</si>
  <si>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</si>
  <si>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</si>
  <si>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</si>
  <si>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</si>
  <si>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</si>
  <si>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</si>
  <si>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</si>
  <si>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</si>
  <si>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</si>
  <si>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</si>
  <si>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</si>
  <si>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</si>
  <si>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</si>
  <si>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</si>
  <si>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</si>
  <si>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</si>
  <si>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</si>
  <si>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</si>
  <si>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</si>
  <si>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</si>
  <si>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</si>
  <si>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</si>
  <si>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</si>
  <si>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</si>
  <si>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</si>
  <si>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</si>
  <si>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</si>
  <si>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</si>
  <si>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</si>
  <si>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</si>
  <si>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</si>
  <si>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</si>
  <si>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</si>
  <si>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</si>
  <si>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</si>
  <si>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</si>
  <si>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</si>
  <si>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</si>
  <si>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</si>
  <si>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</si>
  <si>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</si>
  <si>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</si>
  <si>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</si>
  <si>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</si>
  <si>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</si>
  <si>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</si>
  <si>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</si>
  <si>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</si>
  <si>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</si>
  <si>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</si>
  <si>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</si>
  <si>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</si>
  <si>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</si>
  <si>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</si>
  <si>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</si>
  <si>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</si>
  <si>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</si>
  <si>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</si>
  <si>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</si>
  <si>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</si>
  <si>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</si>
  <si>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</si>
  <si>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</si>
  <si>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</si>
  <si>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</si>
  <si>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</si>
  <si>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</si>
  <si>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</si>
  <si>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</si>
  <si>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</si>
  <si>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</si>
  <si>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</si>
  <si>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</si>
  <si>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</si>
  <si>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</si>
  <si>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</si>
  <si>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</si>
  <si>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</si>
  <si>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</si>
  <si>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</si>
  <si>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</si>
  <si>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</si>
  <si>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</si>
  <si>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</si>
  <si>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</si>
  <si>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</si>
  <si>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</si>
  <si>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</si>
  <si>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</si>
  <si>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</si>
  <si>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</si>
  <si>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</si>
  <si>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</si>
  <si>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</si>
  <si>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</si>
  <si>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</si>
  <si>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</si>
  <si>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</si>
  <si>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</si>
  <si>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</si>
  <si>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</si>
  <si>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</si>
  <si>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</si>
  <si>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</si>
  <si>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</si>
  <si>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</si>
  <si>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</si>
  <si>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</si>
  <si>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</si>
  <si>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</si>
  <si>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</si>
  <si>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</si>
  <si>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</si>
  <si>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</si>
  <si>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</si>
  <si>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</si>
  <si>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</si>
  <si>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</si>
  <si>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</si>
  <si>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</si>
  <si>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</si>
  <si>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</si>
  <si>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</si>
  <si>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</si>
  <si>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</si>
  <si>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</si>
  <si>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</si>
  <si>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</si>
  <si>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</si>
  <si>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</si>
  <si>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</si>
  <si>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</si>
  <si>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</si>
  <si>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</si>
  <si>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</si>
  <si>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</si>
  <si>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</si>
  <si>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</si>
  <si>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</si>
  <si>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</si>
  <si>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</si>
  <si>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</si>
  <si>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</si>
  <si>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</si>
  <si>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</si>
  <si>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</si>
  <si>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</si>
  <si>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</si>
  <si>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</si>
  <si>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</si>
  <si>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</si>
  <si>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</si>
  <si>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</si>
  <si>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</si>
  <si>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</si>
  <si>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</si>
  <si>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</si>
  <si>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</si>
  <si>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</si>
  <si>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</si>
  <si>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</si>
  <si>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</si>
  <si>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</si>
  <si>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</si>
  <si>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</si>
  <si>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</si>
  <si>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</si>
  <si>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</si>
  <si>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</si>
  <si>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</si>
  <si>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</si>
  <si>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</si>
  <si>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</si>
  <si>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</si>
  <si>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</si>
  <si>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</si>
  <si>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</si>
  <si>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</si>
  <si>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</si>
  <si>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</si>
  <si>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</si>
  <si>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</si>
  <si>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</si>
  <si>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</si>
  <si>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</si>
  <si>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</si>
  <si>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</si>
  <si>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</si>
  <si>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</si>
  <si>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</si>
  <si>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</si>
  <si>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</si>
  <si>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</si>
  <si>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</si>
  <si>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</si>
  <si>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</si>
  <si>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</si>
  <si>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</si>
  <si>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</si>
  <si>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</si>
  <si>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</si>
  <si>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</si>
  <si>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</si>
  <si>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</si>
  <si>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</si>
  <si>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</si>
  <si>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</si>
  <si>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</si>
  <si>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</si>
  <si>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</si>
  <si>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</si>
  <si>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</si>
  <si>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</si>
  <si>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</si>
  <si>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</si>
  <si>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</si>
  <si>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</si>
  <si>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</si>
  <si>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</si>
  <si>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</si>
  <si>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</si>
  <si>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</si>
  <si>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</si>
  <si>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</si>
  <si>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</si>
  <si>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</si>
  <si>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</si>
  <si>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</si>
  <si>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</si>
  <si>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</si>
  <si>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</si>
  <si>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</si>
  <si>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</si>
  <si>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</si>
  <si>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</si>
  <si>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</si>
  <si>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</si>
  <si>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</si>
  <si>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</si>
  <si>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</si>
  <si>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</si>
  <si>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</si>
  <si>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</si>
  <si>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</si>
  <si>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</si>
  <si>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</si>
  <si>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</si>
  <si>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</si>
  <si>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</si>
  <si>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</si>
  <si>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</si>
  <si>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</si>
  <si>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</si>
  <si>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</si>
  <si>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</si>
  <si>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</si>
  <si>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</si>
  <si>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</si>
  <si>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</si>
  <si>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</si>
  <si>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</si>
  <si>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</si>
  <si>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</si>
  <si>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</si>
  <si>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</si>
  <si>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</si>
  <si>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</si>
  <si>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</si>
  <si>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</si>
  <si>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</si>
  <si>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</si>
  <si>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</si>
  <si>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</si>
  <si>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</si>
  <si>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</si>
  <si>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</si>
  <si>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</si>
  <si>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</si>
  <si>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</si>
  <si>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</si>
  <si>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</si>
  <si>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</si>
  <si>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</si>
  <si>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</si>
  <si>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</si>
  <si>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</si>
  <si>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</si>
  <si>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</si>
  <si>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</si>
  <si>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</si>
  <si>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</si>
  <si>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</si>
  <si>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</si>
  <si>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</si>
  <si>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</si>
  <si>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</si>
  <si>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</si>
  <si>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</si>
  <si>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</si>
  <si>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</si>
  <si>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</si>
  <si>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</si>
  <si>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</si>
  <si>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</si>
  <si>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</si>
  <si>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</si>
  <si>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</si>
  <si>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</si>
  <si>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</si>
  <si>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</si>
  <si>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</si>
  <si>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</si>
  <si>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</si>
  <si>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</si>
  <si>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</si>
  <si>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</si>
  <si>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</si>
  <si>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</si>
  <si>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</si>
  <si>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</si>
  <si>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</si>
  <si>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</si>
  <si>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</si>
  <si>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</si>
  <si>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</si>
  <si>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</si>
  <si>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</si>
  <si>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</si>
  <si>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</si>
  <si>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</si>
  <si>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</si>
  <si>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</si>
  <si>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</si>
  <si>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</si>
  <si>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</si>
  <si>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</si>
  <si>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</si>
  <si>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</si>
  <si>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</si>
  <si>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</si>
  <si>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</si>
  <si>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</si>
  <si>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</si>
  <si>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</si>
  <si>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</si>
  <si>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</si>
  <si>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</si>
  <si>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</si>
  <si>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</si>
  <si>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</si>
  <si>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</si>
  <si>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</si>
  <si>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</si>
  <si>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</si>
  <si>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</si>
  <si>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</si>
  <si>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</si>
  <si>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</si>
  <si>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</si>
  <si>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</si>
  <si>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</si>
  <si>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</si>
  <si>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</si>
  <si>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</si>
  <si>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</si>
  <si>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</si>
  <si>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</si>
  <si>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</si>
  <si>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</si>
  <si>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</si>
  <si>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</si>
  <si>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</si>
  <si>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</si>
  <si>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</si>
  <si>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</si>
  <si>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</si>
  <si>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</si>
  <si>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</si>
  <si>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</si>
  <si>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</si>
  <si>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</si>
  <si>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</si>
  <si>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</si>
  <si>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</si>
  <si>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</si>
  <si>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</si>
  <si>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</si>
  <si>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</si>
  <si>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</si>
  <si>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</si>
  <si>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</si>
  <si>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</si>
  <si>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</si>
  <si>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</si>
  <si>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</si>
  <si>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</si>
  <si>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</si>
  <si>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</si>
  <si>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</si>
  <si>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</si>
  <si>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</si>
  <si>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</si>
  <si>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</si>
  <si>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</si>
  <si>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</si>
  <si>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</si>
  <si>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</si>
  <si>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</si>
  <si>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</si>
  <si>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</si>
  <si>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</si>
  <si>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</si>
  <si>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</si>
  <si>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</si>
  <si>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</si>
  <si>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</si>
  <si>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</si>
  <si>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</si>
  <si>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</si>
  <si>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</si>
  <si>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</si>
  <si>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</si>
  <si>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</si>
  <si>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</si>
  <si>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</si>
  <si>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</si>
  <si>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</si>
  <si>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</si>
  <si>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</si>
  <si>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</si>
  <si>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</si>
  <si>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</si>
  <si>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</si>
  <si>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</si>
  <si>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</si>
  <si>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</si>
  <si>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
  </si>
  <si>
    <t>Headcount</t>
  </si>
  <si>
    <t>Employee by Department</t>
  </si>
  <si>
    <t>Dept</t>
  </si>
  <si>
    <t>Total</t>
  </si>
  <si>
    <t>Age Group</t>
  </si>
  <si>
    <t>55+</t>
  </si>
  <si>
    <t>20-24</t>
  </si>
  <si>
    <t>25-34</t>
  </si>
  <si>
    <t>35-44</t>
  </si>
  <si>
    <t>45-54</t>
  </si>
  <si>
    <t>Latest_DOB</t>
  </si>
  <si>
    <t>Headcount by Tenure Range</t>
  </si>
  <si>
    <t>&lt;1</t>
  </si>
  <si>
    <t>1-2 Yrs</t>
  </si>
  <si>
    <t>2-3 Yrs</t>
  </si>
  <si>
    <t>3-5 Yrs</t>
  </si>
  <si>
    <t>&gt; 5 Yrs</t>
  </si>
  <si>
    <t>Tenure Group</t>
  </si>
  <si>
    <t>Headcount by Recruitment Source</t>
  </si>
  <si>
    <t>Source</t>
  </si>
  <si>
    <t>Headcount by Performance Score</t>
  </si>
  <si>
    <t>Score</t>
  </si>
  <si>
    <t>Year</t>
  </si>
  <si>
    <t>HC</t>
  </si>
  <si>
    <t>AgeGroup</t>
  </si>
  <si>
    <t>50+</t>
  </si>
  <si>
    <t>Tenure</t>
  </si>
  <si>
    <t>TenureGroup</t>
  </si>
  <si>
    <t>&gt;5 Yrs</t>
  </si>
  <si>
    <t>Grand Total</t>
  </si>
  <si>
    <t>Sum of HC</t>
  </si>
  <si>
    <t>Headcount by Age Group</t>
  </si>
  <si>
    <t>Performance Score</t>
  </si>
  <si>
    <t>TenureScore</t>
  </si>
  <si>
    <t>Performance vs Satisfaction</t>
  </si>
  <si>
    <t>Performance vs Tenure</t>
  </si>
  <si>
    <t>Performance Score x Employee Satisfaction</t>
  </si>
  <si>
    <t>Performance Score x Tenure Group</t>
  </si>
  <si>
    <t>r &lt; 0.1</t>
  </si>
  <si>
    <t>Very Small</t>
  </si>
  <si>
    <t>0.1 &lt;= r &lt; 0.3</t>
  </si>
  <si>
    <t>Small</t>
  </si>
  <si>
    <t>0.3 &lt;= r &lt; 0.5</t>
  </si>
  <si>
    <t>Moderate</t>
  </si>
  <si>
    <t>r &gt;= 0.5</t>
  </si>
  <si>
    <t>Large</t>
  </si>
  <si>
    <t>Recruitment Source</t>
  </si>
  <si>
    <t>Reference of Cohen (1988) Effect Size rules</t>
  </si>
  <si>
    <t>/Folder Name/people-analytics/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</si>
</sst>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0_);_(* \(#,##0.00\);_(* &quot;-&quot;_);_(@_)"/>
  </numFmts>
  <fonts count="5" x14ac:knownFonts="1">
    <font>
      <sz val="12"/>
      <color theme="1"/>
      <name val="Aptos Narrow"/>
      <family val="2"/>
      <scheme val="minor"/>
    </font>
    <font>
      <sz val="12"/>
      <color theme="1"/>
      <name val="Aptos Narrow"/>
      <family val="2"/>
      <scheme val="minor"/>
    </font>
    <font>
      <b/>
      <sz val="12"/>
      <color theme="1"/>
      <name val="Aptos Narrow"/>
      <scheme val="minor"/>
    </font>
    <font>
      <sz val="8"/>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5" fontId="0" fillId="0" borderId="0" xfId="0" applyNumberFormat="1"/>
    <xf numFmtId="41" fontId="0" fillId="0" borderId="0" xfId="1" applyFont="1"/>
    <xf numFmtId="0" fontId="0" fillId="0" borderId="0" xfId="0" applyAlignment="1">
      <alignment horizontal="right"/>
    </xf>
    <xf numFmtId="0" fontId="2" fillId="0" borderId="0" xfId="0" applyFont="1" applyAlignment="1">
      <alignment horizontal="right"/>
    </xf>
    <xf numFmtId="0" fontId="2" fillId="0" borderId="0" xfId="0" applyFont="1"/>
    <xf numFmtId="9" fontId="0" fillId="0" borderId="0" xfId="2" applyFont="1" applyAlignment="1">
      <alignment horizontal="right"/>
    </xf>
    <xf numFmtId="0" fontId="0" fillId="0" borderId="0" xfId="0" pivotButton="1"/>
    <xf numFmtId="0" fontId="0" fillId="0" borderId="0" xfId="0" applyAlignment="1">
      <alignment horizontal="left"/>
    </xf>
    <xf numFmtId="0" fontId="4" fillId="0" borderId="0" xfId="0" applyFont="1" applyAlignment="1">
      <alignment horizontal="left"/>
    </xf>
    <xf numFmtId="164" fontId="0" fillId="0" borderId="0" xfId="1" applyNumberFormat="1" applyFont="1"/>
    <xf numFmtId="0" fontId="2" fillId="0" borderId="0" xfId="0" applyFont="1" applyAlignment="1">
      <alignment horizontal="left"/>
    </xf>
    <xf numFmtId="4" fontId="2" fillId="0" borderId="0" xfId="0" applyNumberFormat="1" applyFont="1" applyProtection="1">
      <protection locked="0"/>
    </xf>
    <xf numFmtId="15" fontId="0" fillId="0" borderId="0" xfId="0" applyNumberFormat="1" applyAlignment="1" applyProtection="1">
      <alignment horizontal="left"/>
      <protection locked="0"/>
    </xf>
    <xf numFmtId="0" fontId="0" fillId="0" borderId="0" xfId="0" applyProtection="1">
      <protection locked="0"/>
    </xf>
    <xf numFmtId="0" fontId="0" fillId="0" borderId="0" xfId="0" applyNumberFormat="1"/>
  </cellXfs>
  <cellStyles count="3">
    <cellStyle name="Comma [0]" xfId="1" builtinId="6"/>
    <cellStyle name="Normal" xfId="0" builtinId="0"/>
    <cellStyle name="Percent" xfId="2" builtinId="5"/>
  </cellStyles>
  <dxfs count="37">
    <dxf>
      <alignment horizontal="left"/>
    </dxf>
    <dxf>
      <alignment horizontal="left"/>
    </dxf>
    <dxf>
      <alignment horizontal="left"/>
    </dxf>
    <dxf>
      <alignment horizontal="left"/>
    </dxf>
    <dxf>
      <numFmt numFmtId="20" formatCode="dd\-mmm\-yy"/>
    </dxf>
    <dxf>
      <numFmt numFmtId="20" formatCode="dd\-mmm\-yy"/>
    </dxf>
    <dxf>
      <numFmt numFmtId="20" formatCode="dd\-mmm\-yy"/>
    </dxf>
    <dxf>
      <numFmt numFmtId="20" formatCode="dd\-mmm\-yy"/>
    </dxf>
    <dxf>
      <font>
        <b val="0"/>
        <i val="0"/>
        <strike val="0"/>
        <condense val="0"/>
        <extend val="0"/>
        <outline val="0"/>
        <shadow val="0"/>
        <u val="none"/>
        <vertAlign val="baseline"/>
        <sz val="12"/>
        <color theme="1"/>
        <name val="Aptos Narrow"/>
        <family val="2"/>
        <scheme val="minor"/>
      </font>
    </dxf>
    <dxf>
      <alignment horizontal="left"/>
    </dxf>
    <dxf>
      <alignment horizontal="left"/>
    </dxf>
    <dxf>
      <alignment horizontal="left"/>
    </dxf>
    <dxf>
      <alignment horizontal="left"/>
    </dxf>
    <dxf>
      <font>
        <b val="0"/>
      </font>
      <protection locked="0" hidden="0"/>
    </dxf>
    <dxf>
      <protection locked="0" hidden="0"/>
    </dxf>
    <dxf>
      <font>
        <b val="0"/>
      </font>
      <protection locked="0" hidden="0"/>
    </dxf>
    <dxf>
      <alignment horizontal="left"/>
    </dxf>
    <dxf>
      <alignment horizontal="left"/>
    </dxf>
    <dxf>
      <alignment horizontal="left"/>
    </dxf>
    <dxf>
      <alignment horizontal="lef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d\-mmm\-yy"/>
      <alignment horizontal="left" vertical="bottom" textRotation="0" wrapText="0" indent="0" justifyLastLine="0" shrinkToFit="0" readingOrder="0"/>
      <protection locked="0" hidden="0"/>
    </dxf>
    <dxf>
      <numFmt numFmtId="20" formatCode="dd\-mmm\-yy"/>
      <alignment horizontal="left" vertical="bottom" textRotation="0" wrapText="0" indent="0" justifyLastLine="0" shrinkToFit="0" readingOrder="0"/>
      <protection locked="0" hidden="0"/>
    </dxf>
    <dxf>
      <font>
        <b/>
        <i val="0"/>
        <strike val="0"/>
        <condense val="0"/>
        <extend val="0"/>
        <outline val="0"/>
        <shadow val="0"/>
        <u val="none"/>
        <vertAlign val="baseline"/>
        <sz val="12"/>
        <color theme="1"/>
        <name val="Aptos Narrow"/>
        <scheme val="minor"/>
      </font>
      <numFmt numFmtId="4" formatCode="#,##0.0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 Analytics.xlsx]Dashboard!PivotTable1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5748031496062992E-3"/>
              <c:y val="-7.6906744484415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5748031496061838E-3"/>
              <c:y val="-7.0741364997107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Dashboard!$E$12:$E$13</c:f>
              <c:strCache>
                <c:ptCount val="1"/>
                <c:pt idx="0">
                  <c:v>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Dashboard!$D$14:$D$20</c:f>
              <c:strCache>
                <c:ptCount val="6"/>
                <c:pt idx="0">
                  <c:v>Admin Offices</c:v>
                </c:pt>
                <c:pt idx="1">
                  <c:v>Executive Office</c:v>
                </c:pt>
                <c:pt idx="2">
                  <c:v>IT/IS</c:v>
                </c:pt>
                <c:pt idx="3">
                  <c:v>Production       </c:v>
                </c:pt>
                <c:pt idx="4">
                  <c:v>Sales</c:v>
                </c:pt>
                <c:pt idx="5">
                  <c:v>Software Engineering</c:v>
                </c:pt>
              </c:strCache>
            </c:strRef>
          </c:cat>
          <c:val>
            <c:numRef>
              <c:f>Dashboard!$E$14:$E$20</c:f>
              <c:numCache>
                <c:formatCode>General</c:formatCode>
                <c:ptCount val="6"/>
                <c:pt idx="0">
                  <c:v>4</c:v>
                </c:pt>
                <c:pt idx="1">
                  <c:v>1</c:v>
                </c:pt>
                <c:pt idx="2">
                  <c:v>19</c:v>
                </c:pt>
                <c:pt idx="3">
                  <c:v>76</c:v>
                </c:pt>
                <c:pt idx="4">
                  <c:v>12</c:v>
                </c:pt>
                <c:pt idx="5">
                  <c:v>5</c:v>
                </c:pt>
              </c:numCache>
            </c:numRef>
          </c:val>
          <c:extLst>
            <c:ext xmlns:c16="http://schemas.microsoft.com/office/drawing/2014/chart" uri="{C3380CC4-5D6E-409C-BE32-E72D297353CC}">
              <c16:uniqueId val="{00000000-0034-4F4C-AAAE-17AD2A94DB06}"/>
            </c:ext>
          </c:extLst>
        </c:ser>
        <c:ser>
          <c:idx val="1"/>
          <c:order val="1"/>
          <c:tx>
            <c:strRef>
              <c:f>Dashboard!$F$12:$F$13</c:f>
              <c:strCache>
                <c:ptCount val="1"/>
                <c:pt idx="0">
                  <c:v>M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034-4F4C-AAAE-17AD2A94DB06}"/>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4-0034-4F4C-AAAE-17AD2A94DB06}"/>
              </c:ext>
            </c:extLst>
          </c:dPt>
          <c:dLbls>
            <c:dLbl>
              <c:idx val="0"/>
              <c:layout>
                <c:manualLayout>
                  <c:x val="1.5748031496062992E-3"/>
                  <c:y val="-7.690674448441549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34-4F4C-AAAE-17AD2A94DB06}"/>
                </c:ext>
              </c:extLst>
            </c:dLbl>
            <c:dLbl>
              <c:idx val="5"/>
              <c:layout>
                <c:manualLayout>
                  <c:x val="1.5748031496061838E-3"/>
                  <c:y val="-7.0741364997107106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34-4F4C-AAAE-17AD2A94DB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Dashboard!$D$14:$D$20</c:f>
              <c:strCache>
                <c:ptCount val="6"/>
                <c:pt idx="0">
                  <c:v>Admin Offices</c:v>
                </c:pt>
                <c:pt idx="1">
                  <c:v>Executive Office</c:v>
                </c:pt>
                <c:pt idx="2">
                  <c:v>IT/IS</c:v>
                </c:pt>
                <c:pt idx="3">
                  <c:v>Production       </c:v>
                </c:pt>
                <c:pt idx="4">
                  <c:v>Sales</c:v>
                </c:pt>
                <c:pt idx="5">
                  <c:v>Software Engineering</c:v>
                </c:pt>
              </c:strCache>
            </c:strRef>
          </c:cat>
          <c:val>
            <c:numRef>
              <c:f>Dashboard!$F$14:$F$20</c:f>
              <c:numCache>
                <c:formatCode>General</c:formatCode>
                <c:ptCount val="6"/>
                <c:pt idx="0">
                  <c:v>3</c:v>
                </c:pt>
                <c:pt idx="2">
                  <c:v>21</c:v>
                </c:pt>
                <c:pt idx="3">
                  <c:v>52</c:v>
                </c:pt>
                <c:pt idx="4">
                  <c:v>15</c:v>
                </c:pt>
                <c:pt idx="5">
                  <c:v>2</c:v>
                </c:pt>
              </c:numCache>
            </c:numRef>
          </c:val>
          <c:extLst>
            <c:ext xmlns:c16="http://schemas.microsoft.com/office/drawing/2014/chart" uri="{C3380CC4-5D6E-409C-BE32-E72D297353CC}">
              <c16:uniqueId val="{00000001-0034-4F4C-AAAE-17AD2A94DB06}"/>
            </c:ext>
          </c:extLst>
        </c:ser>
        <c:dLbls>
          <c:showLegendKey val="0"/>
          <c:showVal val="0"/>
          <c:showCatName val="0"/>
          <c:showSerName val="0"/>
          <c:showPercent val="0"/>
          <c:showBubbleSize val="0"/>
        </c:dLbls>
        <c:gapWidth val="150"/>
        <c:shape val="box"/>
        <c:axId val="360096400"/>
        <c:axId val="1745694399"/>
        <c:axId val="0"/>
      </c:bar3DChart>
      <c:catAx>
        <c:axId val="360096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5694399"/>
        <c:crosses val="autoZero"/>
        <c:auto val="1"/>
        <c:lblAlgn val="ctr"/>
        <c:lblOffset val="100"/>
        <c:noMultiLvlLbl val="0"/>
      </c:catAx>
      <c:valAx>
        <c:axId val="17456943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009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Recruitment Source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91440" tIns="18288"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dLbl>
          <c:idx val="0"/>
          <c:layout>
            <c:manualLayout>
              <c:x val="0"/>
              <c:y val="-3.1195840554592784E-2"/>
            </c:manualLayout>
          </c:layout>
          <c:spPr>
            <a:noFill/>
            <a:ln>
              <a:noFill/>
            </a:ln>
            <a:effectLst/>
          </c:spPr>
          <c:txPr>
            <a:bodyPr rot="0" spcFirstLastPara="1" vertOverflow="ellipsis" vert="horz" wrap="square" lIns="73152"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F</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27-0A44-A5F5-BA3B662042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27-0A44-A5F5-BA3B662042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27-0A44-A5F5-BA3B662042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99CA-2243-BDAF-78E707A529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27-0A44-A5F5-BA3B662042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27-0A44-A5F5-BA3B662042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99CA-2243-BDAF-78E707A529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99CA-2243-BDAF-78E707A5299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27-0A44-A5F5-BA3B662042A7}"/>
              </c:ext>
            </c:extLst>
          </c:dPt>
          <c:dLbls>
            <c:dLbl>
              <c:idx val="3"/>
              <c:layout>
                <c:manualLayout>
                  <c:x val="0"/>
                  <c:y val="-3.119584055459278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CA-2243-BDAF-78E707A5299E}"/>
                </c:ext>
              </c:extLst>
            </c:dLbl>
            <c:dLbl>
              <c:idx val="6"/>
              <c:layout>
                <c:manualLayout>
                  <c:x val="5.2132701421800924E-2"/>
                  <c:y val="-4.66786355475763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CA-2243-BDAF-78E707A5299E}"/>
                </c:ext>
              </c:extLst>
            </c:dLbl>
            <c:dLbl>
              <c:idx val="7"/>
              <c:layout>
                <c:manualLayout>
                  <c:x val="-3.7914691943127965E-2"/>
                  <c:y val="2.87253141831238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9CA-2243-BDAF-78E707A5299E}"/>
                </c:ext>
              </c:extLst>
            </c:dLbl>
            <c:spPr>
              <a:noFill/>
              <a:ln>
                <a:noFill/>
              </a:ln>
              <a:effectLst/>
            </c:spPr>
            <c:txPr>
              <a:bodyPr rot="0" spcFirstLastPara="1" vertOverflow="ellipsis" vert="horz" wrap="square" lIns="91440" tIns="18288"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Lit>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Lit>
          </c:cat>
          <c:val>
            <c:numLit>
              <c:formatCode>General</c:formatCode>
              <c:ptCount val="9"/>
              <c:pt idx="0">
                <c:v>8</c:v>
              </c:pt>
              <c:pt idx="1">
                <c:v>7</c:v>
              </c:pt>
              <c:pt idx="2">
                <c:v>11</c:v>
              </c:pt>
              <c:pt idx="3">
                <c:v>11</c:v>
              </c:pt>
              <c:pt idx="4">
                <c:v>38</c:v>
              </c:pt>
              <c:pt idx="5">
                <c:v>35</c:v>
              </c:pt>
              <c:pt idx="6">
                <c:v>0</c:v>
              </c:pt>
              <c:pt idx="7">
                <c:v>1</c:v>
              </c:pt>
              <c:pt idx="8">
                <c:v>6</c:v>
              </c:pt>
            </c:numLit>
          </c:val>
          <c:extLst>
            <c:ext xmlns:c16="http://schemas.microsoft.com/office/drawing/2014/chart" uri="{C3380CC4-5D6E-409C-BE32-E72D297353CC}">
              <c16:uniqueId val="{00000000-99CA-2243-BDAF-78E707A5299E}"/>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A427-0A44-A5F5-BA3B662042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A427-0A44-A5F5-BA3B662042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A427-0A44-A5F5-BA3B662042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A427-0A44-A5F5-BA3B662042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B-A427-0A44-A5F5-BA3B662042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D-A427-0A44-A5F5-BA3B662042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F-A427-0A44-A5F5-BA3B662042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1-A427-0A44-A5F5-BA3B662042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A427-0A44-A5F5-BA3B662042A7}"/>
              </c:ext>
            </c:extLst>
          </c:dPt>
          <c:cat>
            <c:strLit>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Lit>
          </c:cat>
          <c:val>
            <c:numLit>
              <c:formatCode>General</c:formatCode>
              <c:ptCount val="9"/>
              <c:pt idx="0">
                <c:v>5</c:v>
              </c:pt>
              <c:pt idx="1">
                <c:v>6</c:v>
              </c:pt>
              <c:pt idx="2">
                <c:v>16</c:v>
              </c:pt>
              <c:pt idx="3">
                <c:v>9</c:v>
              </c:pt>
              <c:pt idx="4">
                <c:v>28</c:v>
              </c:pt>
              <c:pt idx="5">
                <c:v>23</c:v>
              </c:pt>
              <c:pt idx="6">
                <c:v>0</c:v>
              </c:pt>
              <c:pt idx="7">
                <c:v>0</c:v>
              </c:pt>
              <c:pt idx="8">
                <c:v>6</c:v>
              </c:pt>
            </c:numLit>
          </c:val>
          <c:extLst>
            <c:ext xmlns:c16="http://schemas.microsoft.com/office/drawing/2014/chart" uri="{C3380CC4-5D6E-409C-BE32-E72D297353CC}">
              <c16:uniqueId val="{00000001-99CA-2243-BDAF-78E707A529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 Analytics.xlsx]Dashboard!PivotTable4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Age</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Dashboard!$O$22:$O$23</c:f>
              <c:strCache>
                <c:ptCount val="1"/>
                <c:pt idx="0">
                  <c:v>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DE-A14F-B0C2-196EF4A73360}"/>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DE-A14F-B0C2-196EF4A73360}"/>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93DE-A14F-B0C2-196EF4A73360}"/>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3DE-A14F-B0C2-196EF4A73360}"/>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3DE-A14F-B0C2-196EF4A733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Dashboard!$N$24:$N$29</c:f>
              <c:strCache>
                <c:ptCount val="5"/>
                <c:pt idx="0">
                  <c:v>20-24</c:v>
                </c:pt>
                <c:pt idx="1">
                  <c:v>25-34</c:v>
                </c:pt>
                <c:pt idx="2">
                  <c:v>35-44</c:v>
                </c:pt>
                <c:pt idx="3">
                  <c:v>45-54</c:v>
                </c:pt>
                <c:pt idx="4">
                  <c:v>50+</c:v>
                </c:pt>
              </c:strCache>
            </c:strRef>
          </c:cat>
          <c:val>
            <c:numRef>
              <c:f>Dashboard!$O$24:$O$29</c:f>
              <c:numCache>
                <c:formatCode>General</c:formatCode>
                <c:ptCount val="5"/>
                <c:pt idx="0">
                  <c:v>16</c:v>
                </c:pt>
                <c:pt idx="1">
                  <c:v>57</c:v>
                </c:pt>
                <c:pt idx="2">
                  <c:v>27</c:v>
                </c:pt>
                <c:pt idx="3">
                  <c:v>14</c:v>
                </c:pt>
                <c:pt idx="4">
                  <c:v>3</c:v>
                </c:pt>
              </c:numCache>
            </c:numRef>
          </c:val>
          <c:extLst>
            <c:ext xmlns:c16="http://schemas.microsoft.com/office/drawing/2014/chart" uri="{C3380CC4-5D6E-409C-BE32-E72D297353CC}">
              <c16:uniqueId val="{00000000-4586-3147-BFDE-ED70E57FE546}"/>
            </c:ext>
          </c:extLst>
        </c:ser>
        <c:ser>
          <c:idx val="1"/>
          <c:order val="1"/>
          <c:tx>
            <c:strRef>
              <c:f>Dashboard!$P$22:$P$23</c:f>
              <c:strCache>
                <c:ptCount val="1"/>
                <c:pt idx="0">
                  <c:v>M </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3DE-A14F-B0C2-196EF4A73360}"/>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D-93DE-A14F-B0C2-196EF4A73360}"/>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93DE-A14F-B0C2-196EF4A73360}"/>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3DE-A14F-B0C2-196EF4A73360}"/>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3DE-A14F-B0C2-196EF4A73360}"/>
              </c:ext>
            </c:extLst>
          </c:dPt>
          <c:cat>
            <c:strRef>
              <c:f>Dashboard!$N$24:$N$29</c:f>
              <c:strCache>
                <c:ptCount val="5"/>
                <c:pt idx="0">
                  <c:v>20-24</c:v>
                </c:pt>
                <c:pt idx="1">
                  <c:v>25-34</c:v>
                </c:pt>
                <c:pt idx="2">
                  <c:v>35-44</c:v>
                </c:pt>
                <c:pt idx="3">
                  <c:v>45-54</c:v>
                </c:pt>
                <c:pt idx="4">
                  <c:v>50+</c:v>
                </c:pt>
              </c:strCache>
            </c:strRef>
          </c:cat>
          <c:val>
            <c:numRef>
              <c:f>Dashboard!$P$24:$P$29</c:f>
              <c:numCache>
                <c:formatCode>General</c:formatCode>
                <c:ptCount val="5"/>
                <c:pt idx="0">
                  <c:v>7</c:v>
                </c:pt>
                <c:pt idx="1">
                  <c:v>52</c:v>
                </c:pt>
                <c:pt idx="2">
                  <c:v>26</c:v>
                </c:pt>
                <c:pt idx="3">
                  <c:v>7</c:v>
                </c:pt>
                <c:pt idx="4">
                  <c:v>1</c:v>
                </c:pt>
              </c:numCache>
            </c:numRef>
          </c:val>
          <c:extLst>
            <c:ext xmlns:c16="http://schemas.microsoft.com/office/drawing/2014/chart" uri="{C3380CC4-5D6E-409C-BE32-E72D297353CC}">
              <c16:uniqueId val="{00000001-4586-3147-BFDE-ED70E57FE54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 Analytics.xlsx]Dashboard!PivotTable4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914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stacked"/>
        <c:varyColors val="0"/>
        <c:ser>
          <c:idx val="0"/>
          <c:order val="0"/>
          <c:tx>
            <c:strRef>
              <c:f>Dashboard!$O$22:$O$23</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Dashboard!$N$24:$N$29</c:f>
              <c:strCache>
                <c:ptCount val="5"/>
                <c:pt idx="0">
                  <c:v>20-24</c:v>
                </c:pt>
                <c:pt idx="1">
                  <c:v>25-34</c:v>
                </c:pt>
                <c:pt idx="2">
                  <c:v>35-44</c:v>
                </c:pt>
                <c:pt idx="3">
                  <c:v>45-54</c:v>
                </c:pt>
                <c:pt idx="4">
                  <c:v>50+</c:v>
                </c:pt>
              </c:strCache>
            </c:strRef>
          </c:cat>
          <c:val>
            <c:numRef>
              <c:f>Dashboard!$O$24:$O$29</c:f>
              <c:numCache>
                <c:formatCode>General</c:formatCode>
                <c:ptCount val="5"/>
                <c:pt idx="0">
                  <c:v>16</c:v>
                </c:pt>
                <c:pt idx="1">
                  <c:v>57</c:v>
                </c:pt>
                <c:pt idx="2">
                  <c:v>27</c:v>
                </c:pt>
                <c:pt idx="3">
                  <c:v>14</c:v>
                </c:pt>
                <c:pt idx="4">
                  <c:v>3</c:v>
                </c:pt>
              </c:numCache>
            </c:numRef>
          </c:val>
          <c:extLst>
            <c:ext xmlns:c16="http://schemas.microsoft.com/office/drawing/2014/chart" uri="{C3380CC4-5D6E-409C-BE32-E72D297353CC}">
              <c16:uniqueId val="{00000000-64DB-3B4F-A272-18A8AF6D0FA4}"/>
            </c:ext>
          </c:extLst>
        </c:ser>
        <c:ser>
          <c:idx val="1"/>
          <c:order val="1"/>
          <c:tx>
            <c:strRef>
              <c:f>Dashboard!$P$22:$P$23</c:f>
              <c:strCache>
                <c:ptCount val="1"/>
                <c:pt idx="0">
                  <c:v>M </c:v>
                </c:pt>
              </c:strCache>
            </c:strRef>
          </c:tx>
          <c:spPr>
            <a:solidFill>
              <a:schemeClr val="accent2"/>
            </a:solidFill>
            <a:ln>
              <a:noFill/>
            </a:ln>
            <a:effectLst/>
          </c:spPr>
          <c:invertIfNegative val="0"/>
          <c:dLbls>
            <c:spPr>
              <a:noFill/>
              <a:ln>
                <a:noFill/>
              </a:ln>
              <a:effectLst/>
            </c:spPr>
            <c:txPr>
              <a:bodyPr rot="0" spcFirstLastPara="1" vertOverflow="ellipsis" vert="horz" wrap="square" lIns="914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Dashboard!$N$24:$N$29</c:f>
              <c:strCache>
                <c:ptCount val="5"/>
                <c:pt idx="0">
                  <c:v>20-24</c:v>
                </c:pt>
                <c:pt idx="1">
                  <c:v>25-34</c:v>
                </c:pt>
                <c:pt idx="2">
                  <c:v>35-44</c:v>
                </c:pt>
                <c:pt idx="3">
                  <c:v>45-54</c:v>
                </c:pt>
                <c:pt idx="4">
                  <c:v>50+</c:v>
                </c:pt>
              </c:strCache>
            </c:strRef>
          </c:cat>
          <c:val>
            <c:numRef>
              <c:f>Dashboard!$P$24:$P$29</c:f>
              <c:numCache>
                <c:formatCode>General</c:formatCode>
                <c:ptCount val="5"/>
                <c:pt idx="0">
                  <c:v>7</c:v>
                </c:pt>
                <c:pt idx="1">
                  <c:v>52</c:v>
                </c:pt>
                <c:pt idx="2">
                  <c:v>26</c:v>
                </c:pt>
                <c:pt idx="3">
                  <c:v>7</c:v>
                </c:pt>
                <c:pt idx="4">
                  <c:v>1</c:v>
                </c:pt>
              </c:numCache>
            </c:numRef>
          </c:val>
          <c:extLst>
            <c:ext xmlns:c16="http://schemas.microsoft.com/office/drawing/2014/chart" uri="{C3380CC4-5D6E-409C-BE32-E72D297353CC}">
              <c16:uniqueId val="{00000001-64DB-3B4F-A272-18A8AF6D0FA4}"/>
            </c:ext>
          </c:extLst>
        </c:ser>
        <c:dLbls>
          <c:showLegendKey val="0"/>
          <c:showVal val="0"/>
          <c:showCatName val="0"/>
          <c:showSerName val="0"/>
          <c:showPercent val="0"/>
          <c:showBubbleSize val="0"/>
        </c:dLbls>
        <c:gapWidth val="150"/>
        <c:overlap val="100"/>
        <c:axId val="547553407"/>
        <c:axId val="547555119"/>
      </c:barChart>
      <c:catAx>
        <c:axId val="54755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55119"/>
        <c:crosses val="autoZero"/>
        <c:auto val="1"/>
        <c:lblAlgn val="ctr"/>
        <c:lblOffset val="100"/>
        <c:noMultiLvlLbl val="0"/>
      </c:catAx>
      <c:valAx>
        <c:axId val="54755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 Analytics.xlsx]Dashboard!PivotTable5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Dashboard!$C$36:$C$37</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Dashboard!$B$38:$B$47</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Dashboard!$C$38:$C$47</c:f>
              <c:numCache>
                <c:formatCode>General</c:formatCode>
                <c:ptCount val="9"/>
                <c:pt idx="0">
                  <c:v>8</c:v>
                </c:pt>
                <c:pt idx="1">
                  <c:v>7</c:v>
                </c:pt>
                <c:pt idx="2">
                  <c:v>11</c:v>
                </c:pt>
                <c:pt idx="3">
                  <c:v>11</c:v>
                </c:pt>
                <c:pt idx="4">
                  <c:v>38</c:v>
                </c:pt>
                <c:pt idx="5">
                  <c:v>35</c:v>
                </c:pt>
                <c:pt idx="7">
                  <c:v>1</c:v>
                </c:pt>
                <c:pt idx="8">
                  <c:v>6</c:v>
                </c:pt>
              </c:numCache>
            </c:numRef>
          </c:val>
          <c:extLst>
            <c:ext xmlns:c16="http://schemas.microsoft.com/office/drawing/2014/chart" uri="{C3380CC4-5D6E-409C-BE32-E72D297353CC}">
              <c16:uniqueId val="{00000000-E73C-2947-B8C0-A2896592818F}"/>
            </c:ext>
          </c:extLst>
        </c:ser>
        <c:ser>
          <c:idx val="1"/>
          <c:order val="1"/>
          <c:tx>
            <c:strRef>
              <c:f>Dashboard!$D$36:$D$37</c:f>
              <c:strCache>
                <c:ptCount val="1"/>
                <c:pt idx="0">
                  <c:v>M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Dashboard!$B$38:$B$47</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Dashboard!$D$38:$D$47</c:f>
              <c:numCache>
                <c:formatCode>General</c:formatCode>
                <c:ptCount val="9"/>
                <c:pt idx="0">
                  <c:v>5</c:v>
                </c:pt>
                <c:pt idx="1">
                  <c:v>6</c:v>
                </c:pt>
                <c:pt idx="2">
                  <c:v>16</c:v>
                </c:pt>
                <c:pt idx="3">
                  <c:v>9</c:v>
                </c:pt>
                <c:pt idx="4">
                  <c:v>28</c:v>
                </c:pt>
                <c:pt idx="5">
                  <c:v>23</c:v>
                </c:pt>
                <c:pt idx="6">
                  <c:v>0</c:v>
                </c:pt>
                <c:pt idx="7">
                  <c:v>0</c:v>
                </c:pt>
                <c:pt idx="8">
                  <c:v>6</c:v>
                </c:pt>
              </c:numCache>
            </c:numRef>
          </c:val>
          <c:extLst>
            <c:ext xmlns:c16="http://schemas.microsoft.com/office/drawing/2014/chart" uri="{C3380CC4-5D6E-409C-BE32-E72D297353CC}">
              <c16:uniqueId val="{00000001-E73C-2947-B8C0-A2896592818F}"/>
            </c:ext>
          </c:extLst>
        </c:ser>
        <c:dLbls>
          <c:showLegendKey val="0"/>
          <c:showVal val="0"/>
          <c:showCatName val="0"/>
          <c:showSerName val="0"/>
          <c:showPercent val="0"/>
          <c:showBubbleSize val="0"/>
        </c:dLbls>
        <c:gapWidth val="219"/>
        <c:overlap val="-27"/>
        <c:axId val="358553568"/>
        <c:axId val="358372000"/>
      </c:barChart>
      <c:catAx>
        <c:axId val="3585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72000"/>
        <c:crosses val="autoZero"/>
        <c:auto val="1"/>
        <c:lblAlgn val="ctr"/>
        <c:lblOffset val="100"/>
        <c:noMultiLvlLbl val="0"/>
      </c:catAx>
      <c:valAx>
        <c:axId val="3583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 Analytics.xlsx]Dashboard!PivotTable6</c:name>
    <c:fmtId val="4"/>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19784420151364E-2"/>
          <c:y val="0.19636363636363635"/>
          <c:w val="0.75283744871696867"/>
          <c:h val="0.63550350751610596"/>
        </c:manualLayout>
      </c:layout>
      <c:bar3DChart>
        <c:barDir val="col"/>
        <c:grouping val="standard"/>
        <c:varyColors val="0"/>
        <c:ser>
          <c:idx val="0"/>
          <c:order val="0"/>
          <c:tx>
            <c:strRef>
              <c:f>Dashboard!$O$49:$O$50</c:f>
              <c:strCache>
                <c:ptCount val="1"/>
                <c:pt idx="0">
                  <c:v>F</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Dashboard!$N$51:$N$56</c:f>
              <c:strCache>
                <c:ptCount val="5"/>
                <c:pt idx="0">
                  <c:v>&lt;1</c:v>
                </c:pt>
                <c:pt idx="1">
                  <c:v>&gt;5 Yrs</c:v>
                </c:pt>
                <c:pt idx="2">
                  <c:v>1-2 Yrs</c:v>
                </c:pt>
                <c:pt idx="3">
                  <c:v>2-3 Yrs</c:v>
                </c:pt>
                <c:pt idx="4">
                  <c:v>3-5 Yrs</c:v>
                </c:pt>
              </c:strCache>
            </c:strRef>
          </c:cat>
          <c:val>
            <c:numRef>
              <c:f>Dashboard!$O$51:$O$56</c:f>
              <c:numCache>
                <c:formatCode>General</c:formatCode>
                <c:ptCount val="5"/>
                <c:pt idx="1">
                  <c:v>47</c:v>
                </c:pt>
                <c:pt idx="2">
                  <c:v>3</c:v>
                </c:pt>
                <c:pt idx="3">
                  <c:v>6</c:v>
                </c:pt>
                <c:pt idx="4">
                  <c:v>61</c:v>
                </c:pt>
              </c:numCache>
            </c:numRef>
          </c:val>
          <c:extLst>
            <c:ext xmlns:c16="http://schemas.microsoft.com/office/drawing/2014/chart" uri="{C3380CC4-5D6E-409C-BE32-E72D297353CC}">
              <c16:uniqueId val="{00000000-35E2-5442-BFCF-30C940E45CC2}"/>
            </c:ext>
          </c:extLst>
        </c:ser>
        <c:ser>
          <c:idx val="1"/>
          <c:order val="1"/>
          <c:tx>
            <c:strRef>
              <c:f>Dashboard!$P$49:$P$50</c:f>
              <c:strCache>
                <c:ptCount val="1"/>
                <c:pt idx="0">
                  <c:v>M </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Dashboard!$N$51:$N$56</c:f>
              <c:strCache>
                <c:ptCount val="5"/>
                <c:pt idx="0">
                  <c:v>&lt;1</c:v>
                </c:pt>
                <c:pt idx="1">
                  <c:v>&gt;5 Yrs</c:v>
                </c:pt>
                <c:pt idx="2">
                  <c:v>1-2 Yrs</c:v>
                </c:pt>
                <c:pt idx="3">
                  <c:v>2-3 Yrs</c:v>
                </c:pt>
                <c:pt idx="4">
                  <c:v>3-5 Yrs</c:v>
                </c:pt>
              </c:strCache>
            </c:strRef>
          </c:cat>
          <c:val>
            <c:numRef>
              <c:f>Dashboard!$P$51:$P$56</c:f>
              <c:numCache>
                <c:formatCode>General</c:formatCode>
                <c:ptCount val="5"/>
                <c:pt idx="0">
                  <c:v>1</c:v>
                </c:pt>
                <c:pt idx="1">
                  <c:v>38</c:v>
                </c:pt>
                <c:pt idx="2">
                  <c:v>6</c:v>
                </c:pt>
                <c:pt idx="3">
                  <c:v>5</c:v>
                </c:pt>
                <c:pt idx="4">
                  <c:v>43</c:v>
                </c:pt>
              </c:numCache>
            </c:numRef>
          </c:val>
          <c:extLst>
            <c:ext xmlns:c16="http://schemas.microsoft.com/office/drawing/2014/chart" uri="{C3380CC4-5D6E-409C-BE32-E72D297353CC}">
              <c16:uniqueId val="{00000001-35E2-5442-BFCF-30C940E45CC2}"/>
            </c:ext>
          </c:extLst>
        </c:ser>
        <c:dLbls>
          <c:showLegendKey val="0"/>
          <c:showVal val="0"/>
          <c:showCatName val="0"/>
          <c:showSerName val="0"/>
          <c:showPercent val="0"/>
          <c:showBubbleSize val="0"/>
        </c:dLbls>
        <c:gapWidth val="150"/>
        <c:shape val="box"/>
        <c:axId val="1141884303"/>
        <c:axId val="547635935"/>
        <c:axId val="358012864"/>
      </c:bar3DChart>
      <c:catAx>
        <c:axId val="114188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35935"/>
        <c:crosses val="autoZero"/>
        <c:auto val="1"/>
        <c:lblAlgn val="ctr"/>
        <c:lblOffset val="100"/>
        <c:noMultiLvlLbl val="0"/>
      </c:catAx>
      <c:valAx>
        <c:axId val="54763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84303"/>
        <c:crosses val="autoZero"/>
        <c:crossBetween val="between"/>
      </c:valAx>
      <c:serAx>
        <c:axId val="3580128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359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[People Analytics.xlsx]Dashboard!PivotTable7</c:name>
    <c:fmtId val="19"/>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06410720828054E-2"/>
          <c:y val="0.20143169826483245"/>
          <c:w val="0.86102884016353654"/>
          <c:h val="0.66921408153842354"/>
        </c:manualLayout>
      </c:layout>
      <c:barChart>
        <c:barDir val="col"/>
        <c:grouping val="percentStacked"/>
        <c:varyColors val="0"/>
        <c:ser>
          <c:idx val="0"/>
          <c:order val="0"/>
          <c:tx>
            <c:strRef>
              <c:f>Dashboard!$C$60:$C$61</c:f>
              <c:strCache>
                <c:ptCount val="1"/>
                <c:pt idx="0">
                  <c:v>1</c:v>
                </c:pt>
              </c:strCache>
            </c:strRef>
          </c:tx>
          <c:spPr>
            <a:solidFill>
              <a:schemeClr val="accent4">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Dashboard!$B$62:$B$66</c:f>
              <c:strCache>
                <c:ptCount val="4"/>
                <c:pt idx="0">
                  <c:v>PIP</c:v>
                </c:pt>
                <c:pt idx="1">
                  <c:v>Needs Improvement</c:v>
                </c:pt>
                <c:pt idx="2">
                  <c:v>Fully Meets</c:v>
                </c:pt>
                <c:pt idx="3">
                  <c:v>Exceeds</c:v>
                </c:pt>
              </c:strCache>
            </c:strRef>
          </c:cat>
          <c:val>
            <c:numRef>
              <c:f>Dashboard!$C$62:$C$66</c:f>
              <c:numCache>
                <c:formatCode>General</c:formatCode>
                <c:ptCount val="4"/>
                <c:pt idx="0">
                  <c:v>2</c:v>
                </c:pt>
              </c:numCache>
            </c:numRef>
          </c:val>
          <c:extLst>
            <c:ext xmlns:c16="http://schemas.microsoft.com/office/drawing/2014/chart" uri="{C3380CC4-5D6E-409C-BE32-E72D297353CC}">
              <c16:uniqueId val="{00000000-D336-BB44-98EA-BA0E6245424C}"/>
            </c:ext>
          </c:extLst>
        </c:ser>
        <c:ser>
          <c:idx val="1"/>
          <c:order val="1"/>
          <c:tx>
            <c:strRef>
              <c:f>Dashboard!$D$60:$D$61</c:f>
              <c:strCache>
                <c:ptCount val="1"/>
                <c:pt idx="0">
                  <c:v>2</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Dashboard!$B$62:$B$66</c:f>
              <c:strCache>
                <c:ptCount val="4"/>
                <c:pt idx="0">
                  <c:v>PIP</c:v>
                </c:pt>
                <c:pt idx="1">
                  <c:v>Needs Improvement</c:v>
                </c:pt>
                <c:pt idx="2">
                  <c:v>Fully Meets</c:v>
                </c:pt>
                <c:pt idx="3">
                  <c:v>Exceeds</c:v>
                </c:pt>
              </c:strCache>
            </c:strRef>
          </c:cat>
          <c:val>
            <c:numRef>
              <c:f>Dashboard!$D$62:$D$66</c:f>
              <c:numCache>
                <c:formatCode>General</c:formatCode>
                <c:ptCount val="4"/>
                <c:pt idx="0">
                  <c:v>3</c:v>
                </c:pt>
                <c:pt idx="1">
                  <c:v>1</c:v>
                </c:pt>
                <c:pt idx="2">
                  <c:v>1</c:v>
                </c:pt>
              </c:numCache>
            </c:numRef>
          </c:val>
          <c:extLst>
            <c:ext xmlns:c16="http://schemas.microsoft.com/office/drawing/2014/chart" uri="{C3380CC4-5D6E-409C-BE32-E72D297353CC}">
              <c16:uniqueId val="{00000001-D336-BB44-98EA-BA0E6245424C}"/>
            </c:ext>
          </c:extLst>
        </c:ser>
        <c:ser>
          <c:idx val="2"/>
          <c:order val="2"/>
          <c:tx>
            <c:strRef>
              <c:f>Dashboard!$E$60:$E$61</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Dashboard!$B$62:$B$66</c:f>
              <c:strCache>
                <c:ptCount val="4"/>
                <c:pt idx="0">
                  <c:v>PIP</c:v>
                </c:pt>
                <c:pt idx="1">
                  <c:v>Needs Improvement</c:v>
                </c:pt>
                <c:pt idx="2">
                  <c:v>Fully Meets</c:v>
                </c:pt>
                <c:pt idx="3">
                  <c:v>Exceeds</c:v>
                </c:pt>
              </c:strCache>
            </c:strRef>
          </c:cat>
          <c:val>
            <c:numRef>
              <c:f>Dashboard!$E$62:$E$66</c:f>
              <c:numCache>
                <c:formatCode>General</c:formatCode>
                <c:ptCount val="4"/>
                <c:pt idx="0">
                  <c:v>2</c:v>
                </c:pt>
                <c:pt idx="1">
                  <c:v>3</c:v>
                </c:pt>
                <c:pt idx="2">
                  <c:v>61</c:v>
                </c:pt>
                <c:pt idx="3">
                  <c:v>10</c:v>
                </c:pt>
              </c:numCache>
            </c:numRef>
          </c:val>
          <c:extLst>
            <c:ext xmlns:c16="http://schemas.microsoft.com/office/drawing/2014/chart" uri="{C3380CC4-5D6E-409C-BE32-E72D297353CC}">
              <c16:uniqueId val="{00000002-D336-BB44-98EA-BA0E6245424C}"/>
            </c:ext>
          </c:extLst>
        </c:ser>
        <c:ser>
          <c:idx val="3"/>
          <c:order val="3"/>
          <c:tx>
            <c:strRef>
              <c:f>Dashboard!$F$60:$F$61</c:f>
              <c:strCache>
                <c:ptCount val="1"/>
                <c:pt idx="0">
                  <c:v>4</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Dashboard!$B$62:$B$66</c:f>
              <c:strCache>
                <c:ptCount val="4"/>
                <c:pt idx="0">
                  <c:v>PIP</c:v>
                </c:pt>
                <c:pt idx="1">
                  <c:v>Needs Improvement</c:v>
                </c:pt>
                <c:pt idx="2">
                  <c:v>Fully Meets</c:v>
                </c:pt>
                <c:pt idx="3">
                  <c:v>Exceeds</c:v>
                </c:pt>
              </c:strCache>
            </c:strRef>
          </c:cat>
          <c:val>
            <c:numRef>
              <c:f>Dashboard!$F$62:$F$66</c:f>
              <c:numCache>
                <c:formatCode>General</c:formatCode>
                <c:ptCount val="4"/>
                <c:pt idx="1">
                  <c:v>3</c:v>
                </c:pt>
                <c:pt idx="2">
                  <c:v>45</c:v>
                </c:pt>
                <c:pt idx="3">
                  <c:v>8</c:v>
                </c:pt>
              </c:numCache>
            </c:numRef>
          </c:val>
          <c:extLst>
            <c:ext xmlns:c16="http://schemas.microsoft.com/office/drawing/2014/chart" uri="{C3380CC4-5D6E-409C-BE32-E72D297353CC}">
              <c16:uniqueId val="{00000007-D336-BB44-98EA-BA0E6245424C}"/>
            </c:ext>
          </c:extLst>
        </c:ser>
        <c:ser>
          <c:idx val="4"/>
          <c:order val="4"/>
          <c:tx>
            <c:strRef>
              <c:f>Dashboard!$G$60:$G$61</c:f>
              <c:strCache>
                <c:ptCount val="1"/>
                <c:pt idx="0">
                  <c:v>5</c:v>
                </c:pt>
              </c:strCache>
            </c:strRef>
          </c:tx>
          <c:spPr>
            <a:solidFill>
              <a:schemeClr val="accent4">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Dashboard!$B$62:$B$66</c:f>
              <c:strCache>
                <c:ptCount val="4"/>
                <c:pt idx="0">
                  <c:v>PIP</c:v>
                </c:pt>
                <c:pt idx="1">
                  <c:v>Needs Improvement</c:v>
                </c:pt>
                <c:pt idx="2">
                  <c:v>Fully Meets</c:v>
                </c:pt>
                <c:pt idx="3">
                  <c:v>Exceeds</c:v>
                </c:pt>
              </c:strCache>
            </c:strRef>
          </c:cat>
          <c:val>
            <c:numRef>
              <c:f>Dashboard!$G$62:$G$66</c:f>
              <c:numCache>
                <c:formatCode>General</c:formatCode>
                <c:ptCount val="4"/>
                <c:pt idx="0">
                  <c:v>2</c:v>
                </c:pt>
                <c:pt idx="1">
                  <c:v>1</c:v>
                </c:pt>
                <c:pt idx="2">
                  <c:v>57</c:v>
                </c:pt>
                <c:pt idx="3">
                  <c:v>11</c:v>
                </c:pt>
              </c:numCache>
            </c:numRef>
          </c:val>
          <c:extLst>
            <c:ext xmlns:c16="http://schemas.microsoft.com/office/drawing/2014/chart" uri="{C3380CC4-5D6E-409C-BE32-E72D297353CC}">
              <c16:uniqueId val="{00000008-D336-BB44-98EA-BA0E6245424C}"/>
            </c:ext>
          </c:extLst>
        </c:ser>
        <c:dLbls>
          <c:showLegendKey val="0"/>
          <c:showVal val="0"/>
          <c:showCatName val="0"/>
          <c:showSerName val="0"/>
          <c:showPercent val="0"/>
          <c:showBubbleSize val="0"/>
        </c:dLbls>
        <c:gapWidth val="150"/>
        <c:overlap val="100"/>
        <c:axId val="313724863"/>
        <c:axId val="513583615"/>
      </c:barChart>
      <c:catAx>
        <c:axId val="31372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83615"/>
        <c:crosses val="autoZero"/>
        <c:auto val="1"/>
        <c:lblAlgn val="ctr"/>
        <c:lblOffset val="100"/>
        <c:noMultiLvlLbl val="0"/>
      </c:catAx>
      <c:valAx>
        <c:axId val="513583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72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[People Analytics.xlsx]Dashboard!PivotTable2</c:name>
    <c:fmtId val="19"/>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2825896762905"/>
          <c:y val="6.0185185185185182E-2"/>
          <c:w val="0.73755314960629925"/>
          <c:h val="0.79118839311752698"/>
        </c:manualLayout>
      </c:layout>
      <c:barChart>
        <c:barDir val="col"/>
        <c:grouping val="percentStacked"/>
        <c:varyColors val="0"/>
        <c:ser>
          <c:idx val="0"/>
          <c:order val="0"/>
          <c:tx>
            <c:strRef>
              <c:f>Dashboard!$L$72:$L$73</c:f>
              <c:strCache>
                <c:ptCount val="1"/>
                <c:pt idx="0">
                  <c:v>&lt;1</c:v>
                </c:pt>
              </c:strCache>
            </c:strRef>
          </c:tx>
          <c:spPr>
            <a:solidFill>
              <a:schemeClr val="accent2">
                <a:shade val="53000"/>
              </a:schemeClr>
            </a:solidFill>
            <a:ln>
              <a:noFill/>
            </a:ln>
            <a:effectLst/>
          </c:spPr>
          <c:invertIfNegative val="0"/>
          <c:cat>
            <c:strRef>
              <c:f>Dashboard!$K$74:$K$78</c:f>
              <c:strCache>
                <c:ptCount val="4"/>
                <c:pt idx="0">
                  <c:v>PIP</c:v>
                </c:pt>
                <c:pt idx="1">
                  <c:v>Needs Improvement</c:v>
                </c:pt>
                <c:pt idx="2">
                  <c:v>Fully Meets</c:v>
                </c:pt>
                <c:pt idx="3">
                  <c:v>Exceeds</c:v>
                </c:pt>
              </c:strCache>
            </c:strRef>
          </c:cat>
          <c:val>
            <c:numRef>
              <c:f>Dashboard!$L$74:$L$78</c:f>
              <c:numCache>
                <c:formatCode>General</c:formatCode>
                <c:ptCount val="4"/>
                <c:pt idx="2">
                  <c:v>1</c:v>
                </c:pt>
              </c:numCache>
            </c:numRef>
          </c:val>
          <c:extLst>
            <c:ext xmlns:c16="http://schemas.microsoft.com/office/drawing/2014/chart" uri="{C3380CC4-5D6E-409C-BE32-E72D297353CC}">
              <c16:uniqueId val="{00000000-288A-9640-8620-47C54293FB78}"/>
            </c:ext>
          </c:extLst>
        </c:ser>
        <c:ser>
          <c:idx val="1"/>
          <c:order val="1"/>
          <c:tx>
            <c:strRef>
              <c:f>Dashboard!$M$72:$M$73</c:f>
              <c:strCache>
                <c:ptCount val="1"/>
                <c:pt idx="0">
                  <c:v>&gt;5 Yrs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Dashboard!$K$74:$K$78</c:f>
              <c:strCache>
                <c:ptCount val="4"/>
                <c:pt idx="0">
                  <c:v>PIP</c:v>
                </c:pt>
                <c:pt idx="1">
                  <c:v>Needs Improvement</c:v>
                </c:pt>
                <c:pt idx="2">
                  <c:v>Fully Meets</c:v>
                </c:pt>
                <c:pt idx="3">
                  <c:v>Exceeds</c:v>
                </c:pt>
              </c:strCache>
            </c:strRef>
          </c:cat>
          <c:val>
            <c:numRef>
              <c:f>Dashboard!$M$74:$M$78</c:f>
              <c:numCache>
                <c:formatCode>General</c:formatCode>
                <c:ptCount val="4"/>
                <c:pt idx="0">
                  <c:v>2</c:v>
                </c:pt>
                <c:pt idx="1">
                  <c:v>4</c:v>
                </c:pt>
                <c:pt idx="2">
                  <c:v>65</c:v>
                </c:pt>
                <c:pt idx="3">
                  <c:v>14</c:v>
                </c:pt>
              </c:numCache>
            </c:numRef>
          </c:val>
          <c:extLst>
            <c:ext xmlns:c16="http://schemas.microsoft.com/office/drawing/2014/chart" uri="{C3380CC4-5D6E-409C-BE32-E72D297353CC}">
              <c16:uniqueId val="{00000001-288A-9640-8620-47C54293FB78}"/>
            </c:ext>
          </c:extLst>
        </c:ser>
        <c:ser>
          <c:idx val="2"/>
          <c:order val="2"/>
          <c:tx>
            <c:strRef>
              <c:f>Dashboard!$N$72:$N$73</c:f>
              <c:strCache>
                <c:ptCount val="1"/>
                <c:pt idx="0">
                  <c:v>1-2 Yrs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Dashboard!$K$74:$K$78</c:f>
              <c:strCache>
                <c:ptCount val="4"/>
                <c:pt idx="0">
                  <c:v>PIP</c:v>
                </c:pt>
                <c:pt idx="1">
                  <c:v>Needs Improvement</c:v>
                </c:pt>
                <c:pt idx="2">
                  <c:v>Fully Meets</c:v>
                </c:pt>
                <c:pt idx="3">
                  <c:v>Exceeds</c:v>
                </c:pt>
              </c:strCache>
            </c:strRef>
          </c:cat>
          <c:val>
            <c:numRef>
              <c:f>Dashboard!$N$74:$N$78</c:f>
              <c:numCache>
                <c:formatCode>General</c:formatCode>
                <c:ptCount val="4"/>
                <c:pt idx="2">
                  <c:v>9</c:v>
                </c:pt>
              </c:numCache>
            </c:numRef>
          </c:val>
          <c:extLst>
            <c:ext xmlns:c16="http://schemas.microsoft.com/office/drawing/2014/chart" uri="{C3380CC4-5D6E-409C-BE32-E72D297353CC}">
              <c16:uniqueId val="{00000002-288A-9640-8620-47C54293FB78}"/>
            </c:ext>
          </c:extLst>
        </c:ser>
        <c:ser>
          <c:idx val="3"/>
          <c:order val="3"/>
          <c:tx>
            <c:strRef>
              <c:f>Dashboard!$O$72:$O$73</c:f>
              <c:strCache>
                <c:ptCount val="1"/>
                <c:pt idx="0">
                  <c:v>2-3 Yrs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Dashboard!$K$74:$K$78</c:f>
              <c:strCache>
                <c:ptCount val="4"/>
                <c:pt idx="0">
                  <c:v>PIP</c:v>
                </c:pt>
                <c:pt idx="1">
                  <c:v>Needs Improvement</c:v>
                </c:pt>
                <c:pt idx="2">
                  <c:v>Fully Meets</c:v>
                </c:pt>
                <c:pt idx="3">
                  <c:v>Exceeds</c:v>
                </c:pt>
              </c:strCache>
            </c:strRef>
          </c:cat>
          <c:val>
            <c:numRef>
              <c:f>Dashboard!$O$74:$O$78</c:f>
              <c:numCache>
                <c:formatCode>General</c:formatCode>
                <c:ptCount val="4"/>
                <c:pt idx="1">
                  <c:v>1</c:v>
                </c:pt>
                <c:pt idx="2">
                  <c:v>7</c:v>
                </c:pt>
                <c:pt idx="3">
                  <c:v>3</c:v>
                </c:pt>
              </c:numCache>
            </c:numRef>
          </c:val>
          <c:extLst>
            <c:ext xmlns:c16="http://schemas.microsoft.com/office/drawing/2014/chart" uri="{C3380CC4-5D6E-409C-BE32-E72D297353CC}">
              <c16:uniqueId val="{00000003-288A-9640-8620-47C54293FB78}"/>
            </c:ext>
          </c:extLst>
        </c:ser>
        <c:ser>
          <c:idx val="4"/>
          <c:order val="4"/>
          <c:tx>
            <c:strRef>
              <c:f>Dashboard!$P$72:$P$73</c:f>
              <c:strCache>
                <c:ptCount val="1"/>
                <c:pt idx="0">
                  <c:v>3-5 Yrs</c:v>
                </c:pt>
              </c:strCache>
            </c:strRef>
          </c:tx>
          <c:spPr>
            <a:solidFill>
              <a:schemeClr val="accent2">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Dashboard!$K$74:$K$78</c:f>
              <c:strCache>
                <c:ptCount val="4"/>
                <c:pt idx="0">
                  <c:v>PIP</c:v>
                </c:pt>
                <c:pt idx="1">
                  <c:v>Needs Improvement</c:v>
                </c:pt>
                <c:pt idx="2">
                  <c:v>Fully Meets</c:v>
                </c:pt>
                <c:pt idx="3">
                  <c:v>Exceeds</c:v>
                </c:pt>
              </c:strCache>
            </c:strRef>
          </c:cat>
          <c:val>
            <c:numRef>
              <c:f>Dashboard!$P$74:$P$78</c:f>
              <c:numCache>
                <c:formatCode>General</c:formatCode>
                <c:ptCount val="4"/>
                <c:pt idx="0">
                  <c:v>7</c:v>
                </c:pt>
                <c:pt idx="1">
                  <c:v>3</c:v>
                </c:pt>
                <c:pt idx="2">
                  <c:v>82</c:v>
                </c:pt>
                <c:pt idx="3">
                  <c:v>12</c:v>
                </c:pt>
              </c:numCache>
            </c:numRef>
          </c:val>
          <c:extLst>
            <c:ext xmlns:c16="http://schemas.microsoft.com/office/drawing/2014/chart" uri="{C3380CC4-5D6E-409C-BE32-E72D297353CC}">
              <c16:uniqueId val="{00000006-288A-9640-8620-47C54293FB78}"/>
            </c:ext>
          </c:extLst>
        </c:ser>
        <c:dLbls>
          <c:showLegendKey val="0"/>
          <c:showVal val="0"/>
          <c:showCatName val="0"/>
          <c:showSerName val="0"/>
          <c:showPercent val="0"/>
          <c:showBubbleSize val="0"/>
        </c:dLbls>
        <c:gapWidth val="150"/>
        <c:overlap val="100"/>
        <c:axId val="367663231"/>
        <c:axId val="367662783"/>
      </c:barChart>
      <c:catAx>
        <c:axId val="36766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62783"/>
        <c:crosses val="autoZero"/>
        <c:auto val="1"/>
        <c:lblAlgn val="ctr"/>
        <c:lblOffset val="100"/>
        <c:noMultiLvlLbl val="0"/>
      </c:catAx>
      <c:valAx>
        <c:axId val="367662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63231"/>
        <c:crosses val="autoZero"/>
        <c:crossBetween val="between"/>
      </c:valAx>
      <c:spPr>
        <a:noFill/>
        <a:ln>
          <a:noFill/>
        </a:ln>
        <a:effectLst/>
      </c:spPr>
    </c:plotArea>
    <c:legend>
      <c:legendPos val="r"/>
      <c:layout>
        <c:manualLayout>
          <c:xMode val="edge"/>
          <c:yMode val="edge"/>
          <c:x val="0.89261696888172004"/>
          <c:y val="0.10100475321065562"/>
          <c:w val="7.1671839455765191E-2"/>
          <c:h val="0.674390958388969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101600</xdr:rowOff>
    </xdr:from>
    <xdr:to>
      <xdr:col>2</xdr:col>
      <xdr:colOff>228600</xdr:colOff>
      <xdr:row>20</xdr:row>
      <xdr:rowOff>139700</xdr:rowOff>
    </xdr:to>
    <mc:AlternateContent xmlns:mc="http://schemas.openxmlformats.org/markup-compatibility/2006" xmlns:a14="http://schemas.microsoft.com/office/drawing/2010/main">
      <mc:Choice Requires="a14">
        <xdr:graphicFrame macro="">
          <xdr:nvGraphicFramePr>
            <xdr:cNvPr id="25" name="Department">
              <a:extLst>
                <a:ext uri="{FF2B5EF4-FFF2-40B4-BE49-F238E27FC236}">
                  <a16:creationId xmlns:a16="http://schemas.microsoft.com/office/drawing/2014/main" id="{69C110FA-95D2-0F95-1878-D155B1626E3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2556" y="2077156"/>
              <a:ext cx="1823155" cy="201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177800</xdr:colOff>
      <xdr:row>10</xdr:row>
      <xdr:rowOff>107950</xdr:rowOff>
    </xdr:from>
    <xdr:to>
      <xdr:col>16</xdr:col>
      <xdr:colOff>812800</xdr:colOff>
      <xdr:row>20</xdr:row>
      <xdr:rowOff>63500</xdr:rowOff>
    </xdr:to>
    <xdr:graphicFrame macro="">
      <xdr:nvGraphicFramePr>
        <xdr:cNvPr id="27" name="Chart 26">
          <a:extLst>
            <a:ext uri="{FF2B5EF4-FFF2-40B4-BE49-F238E27FC236}">
              <a16:creationId xmlns:a16="http://schemas.microsoft.com/office/drawing/2014/main" id="{A87985D2-FF59-F42B-D1C5-CE6F8FCC8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29</xdr:row>
      <xdr:rowOff>146050</xdr:rowOff>
    </xdr:from>
    <xdr:to>
      <xdr:col>17</xdr:col>
      <xdr:colOff>25400</xdr:colOff>
      <xdr:row>47</xdr:row>
      <xdr:rowOff>25400</xdr:rowOff>
    </xdr:to>
    <xdr:graphicFrame macro="">
      <xdr:nvGraphicFramePr>
        <xdr:cNvPr id="40" name="Chart 39">
          <a:extLst>
            <a:ext uri="{FF2B5EF4-FFF2-40B4-BE49-F238E27FC236}">
              <a16:creationId xmlns:a16="http://schemas.microsoft.com/office/drawing/2014/main" id="{72B58096-C978-D305-AD54-CDCDFA577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177800</xdr:colOff>
      <xdr:row>21</xdr:row>
      <xdr:rowOff>6350</xdr:rowOff>
    </xdr:from>
    <xdr:to>
      <xdr:col>12</xdr:col>
      <xdr:colOff>647700</xdr:colOff>
      <xdr:row>34</xdr:row>
      <xdr:rowOff>114300</xdr:rowOff>
    </xdr:to>
    <xdr:graphicFrame macro="">
      <xdr:nvGraphicFramePr>
        <xdr:cNvPr id="41" name="Chart 40">
          <a:extLst>
            <a:ext uri="{FF2B5EF4-FFF2-40B4-BE49-F238E27FC236}">
              <a16:creationId xmlns:a16="http://schemas.microsoft.com/office/drawing/2014/main" id="{425959DD-1CFC-476E-62D1-CF121764B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20</xdr:row>
      <xdr:rowOff>196850</xdr:rowOff>
    </xdr:from>
    <xdr:to>
      <xdr:col>7</xdr:col>
      <xdr:colOff>0</xdr:colOff>
      <xdr:row>34</xdr:row>
      <xdr:rowOff>101600</xdr:rowOff>
    </xdr:to>
    <xdr:graphicFrame macro="">
      <xdr:nvGraphicFramePr>
        <xdr:cNvPr id="42" name="Chart 41">
          <a:extLst>
            <a:ext uri="{FF2B5EF4-FFF2-40B4-BE49-F238E27FC236}">
              <a16:creationId xmlns:a16="http://schemas.microsoft.com/office/drawing/2014/main" id="{5832BE66-781F-8887-6F0B-ED1B3D451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25400</xdr:colOff>
      <xdr:row>35</xdr:row>
      <xdr:rowOff>6350</xdr:rowOff>
    </xdr:from>
    <xdr:to>
      <xdr:col>12</xdr:col>
      <xdr:colOff>647700</xdr:colOff>
      <xdr:row>47</xdr:row>
      <xdr:rowOff>0</xdr:rowOff>
    </xdr:to>
    <xdr:graphicFrame macro="">
      <xdr:nvGraphicFramePr>
        <xdr:cNvPr id="43" name="Chart 42">
          <a:extLst>
            <a:ext uri="{FF2B5EF4-FFF2-40B4-BE49-F238E27FC236}">
              <a16:creationId xmlns:a16="http://schemas.microsoft.com/office/drawing/2014/main" id="{4D10848F-1797-B41F-FD76-827177363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789460</xdr:colOff>
      <xdr:row>47</xdr:row>
      <xdr:rowOff>133350</xdr:rowOff>
    </xdr:from>
    <xdr:to>
      <xdr:col>12</xdr:col>
      <xdr:colOff>660401</xdr:colOff>
      <xdr:row>56</xdr:row>
      <xdr:rowOff>0</xdr:rowOff>
    </xdr:to>
    <xdr:graphicFrame macro="">
      <xdr:nvGraphicFramePr>
        <xdr:cNvPr id="44" name="Chart 43">
          <a:extLst>
            <a:ext uri="{FF2B5EF4-FFF2-40B4-BE49-F238E27FC236}">
              <a16:creationId xmlns:a16="http://schemas.microsoft.com/office/drawing/2014/main" id="{C74F82AC-A3E9-41D7-0147-C9E428167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177800</xdr:colOff>
      <xdr:row>47</xdr:row>
      <xdr:rowOff>177800</xdr:rowOff>
    </xdr:from>
    <xdr:to>
      <xdr:col>8</xdr:col>
      <xdr:colOff>114300</xdr:colOff>
      <xdr:row>48</xdr:row>
      <xdr:rowOff>177800</xdr:rowOff>
    </xdr:to>
    <xdr:sp macro="" textlink="">
      <xdr:nvSpPr>
        <xdr:cNvPr id="45" name="TextBox 44">
          <a:extLst>
            <a:ext uri="{FF2B5EF4-FFF2-40B4-BE49-F238E27FC236}">
              <a16:creationId xmlns:a16="http://schemas.microsoft.com/office/drawing/2014/main" id="{EF6EE05D-8E50-B5A1-17D7-7C32B9FE4DFA}"/>
            </a:ext>
          </a:extLst>
        </xdr:cNvPr>
        <xdr:cNvSpPr txBox="1"/>
      </xdr:nvSpPr>
      <xdr:spPr>
        <a:xfrm>
          <a:off x="4787900" y="9728200"/>
          <a:ext cx="20574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Headcount by Tenure Group</a:t>
          </a:r>
        </a:p>
      </xdr:txBody>
    </xdr:sp>
    <xdr:clientData/>
  </xdr:twoCellAnchor>
  <xdr:twoCellAnchor>
    <xdr:from>
      <xdr:col>8</xdr:col>
      <xdr:colOff>236837</xdr:colOff>
      <xdr:row>56</xdr:row>
      <xdr:rowOff>190157</xdr:rowOff>
    </xdr:from>
    <xdr:to>
      <xdr:col>17</xdr:col>
      <xdr:colOff>45765</xdr:colOff>
      <xdr:row>67</xdr:row>
      <xdr:rowOff>10763</xdr:rowOff>
    </xdr:to>
    <xdr:graphicFrame macro="">
      <xdr:nvGraphicFramePr>
        <xdr:cNvPr id="2" name="Chart 1">
          <a:extLst>
            <a:ext uri="{FF2B5EF4-FFF2-40B4-BE49-F238E27FC236}">
              <a16:creationId xmlns:a16="http://schemas.microsoft.com/office/drawing/2014/main" id="{B574425F-7AB7-2367-8609-9A7A76807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68</xdr:row>
      <xdr:rowOff>646</xdr:rowOff>
    </xdr:from>
    <xdr:to>
      <xdr:col>9</xdr:col>
      <xdr:colOff>720027</xdr:colOff>
      <xdr:row>78</xdr:row>
      <xdr:rowOff>10763</xdr:rowOff>
    </xdr:to>
    <xdr:graphicFrame macro="">
      <xdr:nvGraphicFramePr>
        <xdr:cNvPr id="7" name="Chart 6">
          <a:extLst>
            <a:ext uri="{FF2B5EF4-FFF2-40B4-BE49-F238E27FC236}">
              <a16:creationId xmlns:a16="http://schemas.microsoft.com/office/drawing/2014/main" id="{595F154E-A245-BF0D-584E-343FD49E2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798688</xdr:colOff>
      <xdr:row>1</xdr:row>
      <xdr:rowOff>12700</xdr:rowOff>
    </xdr:from>
    <xdr:to>
      <xdr:col>17</xdr:col>
      <xdr:colOff>42333</xdr:colOff>
      <xdr:row>10</xdr:row>
      <xdr:rowOff>25400</xdr:rowOff>
    </xdr:to>
    <xdr:grpSp>
      <xdr:nvGrpSpPr>
        <xdr:cNvPr id="16" name="Group 15">
          <a:extLst>
            <a:ext uri="{FF2B5EF4-FFF2-40B4-BE49-F238E27FC236}">
              <a16:creationId xmlns:a16="http://schemas.microsoft.com/office/drawing/2014/main" id="{CB1E5833-A9A5-9444-B7E8-EBA5C21B1AA0}"/>
            </a:ext>
          </a:extLst>
        </xdr:cNvPr>
        <xdr:cNvGrpSpPr/>
      </xdr:nvGrpSpPr>
      <xdr:grpSpPr>
        <a:xfrm>
          <a:off x="798688" y="215900"/>
          <a:ext cx="12769145" cy="1841500"/>
          <a:chOff x="798688" y="217192"/>
          <a:chExt cx="12966103" cy="1853123"/>
        </a:xfrm>
      </xdr:grpSpPr>
      <xdr:sp macro="" textlink="">
        <xdr:nvSpPr>
          <xdr:cNvPr id="3" name="TextBox 2">
            <a:extLst>
              <a:ext uri="{FF2B5EF4-FFF2-40B4-BE49-F238E27FC236}">
                <a16:creationId xmlns:a16="http://schemas.microsoft.com/office/drawing/2014/main" id="{95EBB822-07D6-89CA-D828-5AC60A484D03}"/>
              </a:ext>
            </a:extLst>
          </xdr:cNvPr>
          <xdr:cNvSpPr txBox="1"/>
        </xdr:nvSpPr>
        <xdr:spPr>
          <a:xfrm>
            <a:off x="798688" y="217192"/>
            <a:ext cx="12966103" cy="185312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endParaRPr lang="en-US" sz="1100"/>
          </a:p>
        </xdr:txBody>
      </xdr:sp>
      <xdr:sp macro="" textlink="'Demographic Data'!$B$4">
        <xdr:nvSpPr>
          <xdr:cNvPr id="5" name="TextBox 4">
            <a:extLst>
              <a:ext uri="{FF2B5EF4-FFF2-40B4-BE49-F238E27FC236}">
                <a16:creationId xmlns:a16="http://schemas.microsoft.com/office/drawing/2014/main" id="{66D3CCD3-51D5-E369-A270-98720004968E}"/>
              </a:ext>
            </a:extLst>
          </xdr:cNvPr>
          <xdr:cNvSpPr txBox="1"/>
        </xdr:nvSpPr>
        <xdr:spPr>
          <a:xfrm>
            <a:off x="1766404" y="1604872"/>
            <a:ext cx="1072810" cy="317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EEDF2D-841D-2E42-A8D0-13A0673469F7}" type="TxLink">
              <a:rPr lang="en-US" sz="1400" b="1" i="0" u="none" strike="noStrike">
                <a:solidFill>
                  <a:schemeClr val="bg1"/>
                </a:solidFill>
                <a:latin typeface="Aptos Narrow"/>
              </a:rPr>
              <a:pPr/>
              <a:t>01-Aug-26</a:t>
            </a:fld>
            <a:endParaRPr lang="en-US" sz="1200" b="1">
              <a:solidFill>
                <a:schemeClr val="bg1"/>
              </a:solidFill>
            </a:endParaRPr>
          </a:p>
        </xdr:txBody>
      </xdr:sp>
      <xdr:grpSp>
        <xdr:nvGrpSpPr>
          <xdr:cNvPr id="30" name="Group 29">
            <a:extLst>
              <a:ext uri="{FF2B5EF4-FFF2-40B4-BE49-F238E27FC236}">
                <a16:creationId xmlns:a16="http://schemas.microsoft.com/office/drawing/2014/main" id="{AA681352-45B1-C294-1DE6-D51397AD0488}"/>
              </a:ext>
            </a:extLst>
          </xdr:cNvPr>
          <xdr:cNvGrpSpPr/>
        </xdr:nvGrpSpPr>
        <xdr:grpSpPr>
          <a:xfrm>
            <a:off x="7012591" y="344994"/>
            <a:ext cx="1978857" cy="1559179"/>
            <a:chOff x="6794500" y="342900"/>
            <a:chExt cx="1841500" cy="1549400"/>
          </a:xfrm>
        </xdr:grpSpPr>
        <xdr:sp macro="" textlink="">
          <xdr:nvSpPr>
            <xdr:cNvPr id="19" name="Rounded Rectangle 18">
              <a:extLst>
                <a:ext uri="{FF2B5EF4-FFF2-40B4-BE49-F238E27FC236}">
                  <a16:creationId xmlns:a16="http://schemas.microsoft.com/office/drawing/2014/main" id="{D9E469B8-1BEA-4F41-9F74-0B7F602CE3FF}"/>
                </a:ext>
              </a:extLst>
            </xdr:cNvPr>
            <xdr:cNvSpPr/>
          </xdr:nvSpPr>
          <xdr:spPr>
            <a:xfrm>
              <a:off x="6794500" y="342900"/>
              <a:ext cx="1841500" cy="15494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Demographic Data'!$D$9">
          <xdr:nvSpPr>
            <xdr:cNvPr id="20" name="TextBox 19">
              <a:extLst>
                <a:ext uri="{FF2B5EF4-FFF2-40B4-BE49-F238E27FC236}">
                  <a16:creationId xmlns:a16="http://schemas.microsoft.com/office/drawing/2014/main" id="{3794A894-06A5-8F43-88AE-B33DDB3425E1}"/>
                </a:ext>
              </a:extLst>
            </xdr:cNvPr>
            <xdr:cNvSpPr txBox="1"/>
          </xdr:nvSpPr>
          <xdr:spPr>
            <a:xfrm>
              <a:off x="7162800" y="1130300"/>
              <a:ext cx="11176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E2C339-C265-E945-BA5D-866804C2FACC}" type="TxLink">
                <a:rPr lang="en-US" sz="1800" b="1" i="0" u="none" strike="noStrike">
                  <a:solidFill>
                    <a:srgbClr val="000000"/>
                  </a:solidFill>
                  <a:latin typeface="Aptos Narrow"/>
                </a:rPr>
                <a:pPr algn="ctr"/>
                <a:t>117</a:t>
              </a:fld>
              <a:endParaRPr lang="en-US" sz="2400" b="1"/>
            </a:p>
          </xdr:txBody>
        </xdr:sp>
        <xdr:sp macro="" textlink="'Demographic Data'!$D$10">
          <xdr:nvSpPr>
            <xdr:cNvPr id="21" name="TextBox 20">
              <a:extLst>
                <a:ext uri="{FF2B5EF4-FFF2-40B4-BE49-F238E27FC236}">
                  <a16:creationId xmlns:a16="http://schemas.microsoft.com/office/drawing/2014/main" id="{CE1FD8D9-8E34-BD42-AA90-48BC8A6D8ECD}"/>
                </a:ext>
              </a:extLst>
            </xdr:cNvPr>
            <xdr:cNvSpPr txBox="1"/>
          </xdr:nvSpPr>
          <xdr:spPr>
            <a:xfrm>
              <a:off x="7150100" y="1435100"/>
              <a:ext cx="1117600" cy="330200"/>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53D135D8-5F34-8E4D-9106-B9EFAE3A7DB0}" type="TxLink">
                <a:rPr lang="en-US" sz="1200" b="1" i="0" u="none" strike="noStrike">
                  <a:solidFill>
                    <a:schemeClr val="bg1"/>
                  </a:solidFill>
                  <a:latin typeface="Aptos Narrow"/>
                </a:rPr>
                <a:pPr algn="ctr"/>
                <a:t>56%</a:t>
              </a:fld>
              <a:endParaRPr lang="en-US" sz="1200" b="1">
                <a:solidFill>
                  <a:schemeClr val="bg1"/>
                </a:solidFill>
              </a:endParaRPr>
            </a:p>
          </xdr:txBody>
        </xdr:sp>
        <xdr:pic>
          <xdr:nvPicPr>
            <xdr:cNvPr id="22" name="Graphic 21" descr="Female Profile outline">
              <a:extLst>
                <a:ext uri="{FF2B5EF4-FFF2-40B4-BE49-F238E27FC236}">
                  <a16:creationId xmlns:a16="http://schemas.microsoft.com/office/drawing/2014/main" id="{ED9638F0-DC05-D441-81D4-4C9714513F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51700" y="355600"/>
              <a:ext cx="914400" cy="914400"/>
            </a:xfrm>
            <a:prstGeom prst="rect">
              <a:avLst/>
            </a:prstGeom>
          </xdr:spPr>
        </xdr:pic>
      </xdr:grpSp>
      <xdr:grpSp>
        <xdr:nvGrpSpPr>
          <xdr:cNvPr id="31" name="Group 30">
            <a:extLst>
              <a:ext uri="{FF2B5EF4-FFF2-40B4-BE49-F238E27FC236}">
                <a16:creationId xmlns:a16="http://schemas.microsoft.com/office/drawing/2014/main" id="{83C9EC38-BC62-0E92-4AB9-E4C401654B7F}"/>
              </a:ext>
            </a:extLst>
          </xdr:cNvPr>
          <xdr:cNvGrpSpPr/>
        </xdr:nvGrpSpPr>
        <xdr:grpSpPr>
          <a:xfrm>
            <a:off x="10181267" y="344994"/>
            <a:ext cx="1928759" cy="1559179"/>
            <a:chOff x="9804400" y="342900"/>
            <a:chExt cx="1841500" cy="1549400"/>
          </a:xfrm>
        </xdr:grpSpPr>
        <xdr:sp macro="" textlink="">
          <xdr:nvSpPr>
            <xdr:cNvPr id="6" name="Rounded Rectangle 5">
              <a:extLst>
                <a:ext uri="{FF2B5EF4-FFF2-40B4-BE49-F238E27FC236}">
                  <a16:creationId xmlns:a16="http://schemas.microsoft.com/office/drawing/2014/main" id="{C55DB0C9-ADCE-12D0-B908-05AB5302B2CE}"/>
                </a:ext>
              </a:extLst>
            </xdr:cNvPr>
            <xdr:cNvSpPr/>
          </xdr:nvSpPr>
          <xdr:spPr>
            <a:xfrm>
              <a:off x="9804400" y="342900"/>
              <a:ext cx="1841500" cy="15494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Demographic Data'!$E$9">
          <xdr:nvSpPr>
            <xdr:cNvPr id="9" name="TextBox 8">
              <a:extLst>
                <a:ext uri="{FF2B5EF4-FFF2-40B4-BE49-F238E27FC236}">
                  <a16:creationId xmlns:a16="http://schemas.microsoft.com/office/drawing/2014/main" id="{8A17D2F6-23DE-CD81-890F-CF60A97866DF}"/>
                </a:ext>
              </a:extLst>
            </xdr:cNvPr>
            <xdr:cNvSpPr txBox="1"/>
          </xdr:nvSpPr>
          <xdr:spPr>
            <a:xfrm>
              <a:off x="10172700" y="1130300"/>
              <a:ext cx="11176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EF058F-28C7-604C-919A-DEB6E27F4325}" type="TxLink">
                <a:rPr lang="en-US" sz="1800" b="1" i="0" u="none" strike="noStrike">
                  <a:solidFill>
                    <a:srgbClr val="000000"/>
                  </a:solidFill>
                  <a:latin typeface="Aptos Narrow"/>
                </a:rPr>
                <a:pPr algn="ctr"/>
                <a:t>93</a:t>
              </a:fld>
              <a:endParaRPr lang="en-US" sz="3600" b="1"/>
            </a:p>
          </xdr:txBody>
        </xdr:sp>
        <xdr:sp macro="" textlink="'Demographic Data'!$E$10">
          <xdr:nvSpPr>
            <xdr:cNvPr id="10" name="TextBox 9">
              <a:extLst>
                <a:ext uri="{FF2B5EF4-FFF2-40B4-BE49-F238E27FC236}">
                  <a16:creationId xmlns:a16="http://schemas.microsoft.com/office/drawing/2014/main" id="{9472797D-BF16-3D4D-BE28-E0C171E4A5F2}"/>
                </a:ext>
              </a:extLst>
            </xdr:cNvPr>
            <xdr:cNvSpPr txBox="1"/>
          </xdr:nvSpPr>
          <xdr:spPr>
            <a:xfrm>
              <a:off x="10160000" y="1435100"/>
              <a:ext cx="1117600" cy="330200"/>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AE9BF95B-6BA2-D242-93A2-28A6FE967E33}" type="TxLink">
                <a:rPr lang="en-US" sz="1200" b="1" i="0" u="none" strike="noStrike">
                  <a:solidFill>
                    <a:schemeClr val="bg1"/>
                  </a:solidFill>
                  <a:latin typeface="Aptos Narrow"/>
                </a:rPr>
                <a:pPr algn="ctr"/>
                <a:t>44%</a:t>
              </a:fld>
              <a:endParaRPr lang="en-US" sz="1200" b="1">
                <a:solidFill>
                  <a:schemeClr val="bg1"/>
                </a:solidFill>
              </a:endParaRPr>
            </a:p>
          </xdr:txBody>
        </xdr:sp>
        <xdr:pic>
          <xdr:nvPicPr>
            <xdr:cNvPr id="24" name="Graphic 23" descr="Male profile outline">
              <a:extLst>
                <a:ext uri="{FF2B5EF4-FFF2-40B4-BE49-F238E27FC236}">
                  <a16:creationId xmlns:a16="http://schemas.microsoft.com/office/drawing/2014/main" id="{D55A6F23-E45F-34A2-E135-1E5D0C47CE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74300" y="355600"/>
              <a:ext cx="914400" cy="914400"/>
            </a:xfrm>
            <a:prstGeom prst="rect">
              <a:avLst/>
            </a:prstGeom>
          </xdr:spPr>
        </xdr:pic>
      </xdr:grpSp>
      <xdr:grpSp>
        <xdr:nvGrpSpPr>
          <xdr:cNvPr id="29" name="Group 28">
            <a:extLst>
              <a:ext uri="{FF2B5EF4-FFF2-40B4-BE49-F238E27FC236}">
                <a16:creationId xmlns:a16="http://schemas.microsoft.com/office/drawing/2014/main" id="{9581EB12-B4B3-88D0-5C90-9E42544CCD59}"/>
              </a:ext>
            </a:extLst>
          </xdr:cNvPr>
          <xdr:cNvGrpSpPr/>
        </xdr:nvGrpSpPr>
        <xdr:grpSpPr>
          <a:xfrm>
            <a:off x="3956636" y="344994"/>
            <a:ext cx="1928759" cy="1559179"/>
            <a:chOff x="4127500" y="342900"/>
            <a:chExt cx="1841500" cy="1549400"/>
          </a:xfrm>
        </xdr:grpSpPr>
        <xdr:sp macro="" textlink="">
          <xdr:nvSpPr>
            <xdr:cNvPr id="28" name="Rounded Rectangle 27">
              <a:extLst>
                <a:ext uri="{FF2B5EF4-FFF2-40B4-BE49-F238E27FC236}">
                  <a16:creationId xmlns:a16="http://schemas.microsoft.com/office/drawing/2014/main" id="{9999CE23-8F9A-744B-956B-7D01A6859FEA}"/>
                </a:ext>
              </a:extLst>
            </xdr:cNvPr>
            <xdr:cNvSpPr/>
          </xdr:nvSpPr>
          <xdr:spPr>
            <a:xfrm>
              <a:off x="4127500" y="342900"/>
              <a:ext cx="1841500" cy="15494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pic>
          <xdr:nvPicPr>
            <xdr:cNvPr id="12" name="Graphic 11" descr="Users outline">
              <a:extLst>
                <a:ext uri="{FF2B5EF4-FFF2-40B4-BE49-F238E27FC236}">
                  <a16:creationId xmlns:a16="http://schemas.microsoft.com/office/drawing/2014/main" id="{C67EF1D1-531A-8048-AB82-E2E6118F2F4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610100" y="355600"/>
              <a:ext cx="914400" cy="914400"/>
            </a:xfrm>
            <a:prstGeom prst="rect">
              <a:avLst/>
            </a:prstGeom>
          </xdr:spPr>
        </xdr:pic>
        <xdr:sp macro="" textlink="'Demographic Data'!$C$9">
          <xdr:nvSpPr>
            <xdr:cNvPr id="13" name="TextBox 12">
              <a:extLst>
                <a:ext uri="{FF2B5EF4-FFF2-40B4-BE49-F238E27FC236}">
                  <a16:creationId xmlns:a16="http://schemas.microsoft.com/office/drawing/2014/main" id="{5605D3C9-1D40-ED45-92C2-96AB7B959D45}"/>
                </a:ext>
              </a:extLst>
            </xdr:cNvPr>
            <xdr:cNvSpPr txBox="1"/>
          </xdr:nvSpPr>
          <xdr:spPr>
            <a:xfrm>
              <a:off x="4737100" y="1130300"/>
              <a:ext cx="660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F06BE8-8373-3E40-8CD0-08DD66754196}" type="TxLink">
                <a:rPr lang="en-US" sz="1800" b="1" i="0" u="none" strike="noStrike">
                  <a:solidFill>
                    <a:srgbClr val="000000"/>
                  </a:solidFill>
                  <a:latin typeface="Aptos Narrow"/>
                </a:rPr>
                <a:pPr algn="ctr"/>
                <a:t>210</a:t>
              </a:fld>
              <a:endParaRPr lang="en-US" sz="3600" b="1"/>
            </a:p>
          </xdr:txBody>
        </xdr:sp>
        <xdr:sp macro="" textlink="'Demographic Data'!$C$10">
          <xdr:nvSpPr>
            <xdr:cNvPr id="14" name="TextBox 13">
              <a:extLst>
                <a:ext uri="{FF2B5EF4-FFF2-40B4-BE49-F238E27FC236}">
                  <a16:creationId xmlns:a16="http://schemas.microsoft.com/office/drawing/2014/main" id="{EF05D548-527D-9149-BC85-BA609CAFB571}"/>
                </a:ext>
              </a:extLst>
            </xdr:cNvPr>
            <xdr:cNvSpPr txBox="1"/>
          </xdr:nvSpPr>
          <xdr:spPr>
            <a:xfrm>
              <a:off x="4737100" y="1435100"/>
              <a:ext cx="647700" cy="330200"/>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D725D634-1844-044F-B6A7-F3C238EAF167}" type="TxLink">
                <a:rPr lang="en-US" sz="1200" b="1" i="0" u="none" strike="noStrike">
                  <a:solidFill>
                    <a:schemeClr val="bg1"/>
                  </a:solidFill>
                  <a:latin typeface="Aptos Narrow"/>
                </a:rPr>
                <a:pPr algn="ctr"/>
                <a:t>100%</a:t>
              </a:fld>
              <a:endParaRPr lang="en-US" sz="1200" b="1">
                <a:solidFill>
                  <a:schemeClr val="bg1"/>
                </a:solidFill>
              </a:endParaRPr>
            </a:p>
          </xdr:txBody>
        </xdr:sp>
      </xdr:grpSp>
      <xdr:pic>
        <xdr:nvPicPr>
          <xdr:cNvPr id="15" name="Graphic 14" descr="Cycle with people outline">
            <a:extLst>
              <a:ext uri="{FF2B5EF4-FFF2-40B4-BE49-F238E27FC236}">
                <a16:creationId xmlns:a16="http://schemas.microsoft.com/office/drawing/2014/main" id="{61889CEB-86FF-CDD7-1377-D64A3BFA73F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17543" y="312118"/>
            <a:ext cx="1463730" cy="1463730"/>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0.20782</cdr:x>
      <cdr:y>0.0372</cdr:y>
    </cdr:from>
    <cdr:to>
      <cdr:x>0.79774</cdr:x>
      <cdr:y>0.16826</cdr:y>
    </cdr:to>
    <cdr:sp macro="" textlink="">
      <cdr:nvSpPr>
        <cdr:cNvPr id="2" name="TextBox 1">
          <a:extLst xmlns:a="http://schemas.openxmlformats.org/drawingml/2006/main">
            <a:ext uri="{FF2B5EF4-FFF2-40B4-BE49-F238E27FC236}">
              <a16:creationId xmlns:a16="http://schemas.microsoft.com/office/drawing/2014/main" id="{DBEFC5F3-8EDF-F756-1B6A-4FE78A0B8DC1}"/>
            </a:ext>
          </a:extLst>
        </cdr:cNvPr>
        <cdr:cNvSpPr txBox="1"/>
      </cdr:nvSpPr>
      <cdr:spPr>
        <a:xfrm xmlns:a="http://schemas.openxmlformats.org/drawingml/2006/main">
          <a:off x="1410730" y="84437"/>
          <a:ext cx="4004505" cy="2974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0.11512</cdr:x>
      <cdr:y>0.04224</cdr:y>
    </cdr:from>
    <cdr:to>
      <cdr:x>0.88033</cdr:x>
      <cdr:y>0.13802</cdr:y>
    </cdr:to>
    <cdr:sp macro="" textlink="">
      <cdr:nvSpPr>
        <cdr:cNvPr id="3" name="TextBox 2">
          <a:extLst xmlns:a="http://schemas.openxmlformats.org/drawingml/2006/main">
            <a:ext uri="{FF2B5EF4-FFF2-40B4-BE49-F238E27FC236}">
              <a16:creationId xmlns:a16="http://schemas.microsoft.com/office/drawing/2014/main" id="{35194D58-2F6B-C317-3D35-6F736A8064B8}"/>
            </a:ext>
          </a:extLst>
        </cdr:cNvPr>
        <cdr:cNvSpPr txBox="1"/>
      </cdr:nvSpPr>
      <cdr:spPr>
        <a:xfrm xmlns:a="http://schemas.openxmlformats.org/drawingml/2006/main">
          <a:off x="781451" y="95879"/>
          <a:ext cx="5194415" cy="2173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kern="1200"/>
            <a:t>Performance Score x Employee Satisfaction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69.602130092593" createdVersion="8" refreshedVersion="8" minRefreshableVersion="3" recordCount="311" xr:uid="{A2D31D85-6398-B54B-977C-22401AB59C21}">
  <cacheSource type="worksheet">
    <worksheetSource name="HRDataset"/>
  </cacheSource>
  <cacheFields count="42">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41">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Latest_DOB" numFmtId="15">
      <sharedItems containsSemiMixedTypes="0" containsNonDate="0" containsDate="1" containsString="0" minDate="1964-01-02T00:00:00" maxDate="2005-08-18T00:00:00"/>
    </cacheField>
    <cacheField name="Sex" numFmtId="0">
      <sharedItems count="2">
        <s v="M "/>
        <s v="F"/>
      </sharedItems>
    </cacheField>
    <cacheField name="MaritalDesc" numFmtId="0">
      <sharedItems/>
    </cacheField>
    <cacheField name="CitizenDesc" numFmtId="0">
      <sharedItems/>
    </cacheField>
    <cacheField name="HispanicLatino" numFmtId="0">
      <sharedItems/>
    </cacheField>
    <cacheField name="RaceDesc" numFmtId="0">
      <sharedItems/>
    </cacheField>
    <cacheField name="Latest_DateofHire" numFmtId="15">
      <sharedItems containsSemiMixedTypes="0" containsNonDate="0" containsDate="1" containsString="0" minDate="2014-01-09T00:00:00" maxDate="2026-07-10T00:00:00"/>
    </cacheField>
    <cacheField name="Latest_DateofTermination" numFmtId="15">
      <sharedItems containsDate="1" containsMixedTypes="1" minDate="2018-08-30T00:00:00" maxDate="2026-08-20T00:00:00"/>
    </cacheField>
    <cacheField name="TermReason" numFmtId="0">
      <sharedItems/>
    </cacheField>
    <cacheField name="EmploymentStatus" numFmtId="0">
      <sharedItems/>
    </cacheField>
    <cacheField name="Department" numFmtId="0">
      <sharedItems count="6">
        <s v="Production       "/>
        <s v="IT/IS"/>
        <s v="Software Engineering"/>
        <s v="Admin Offices"/>
        <s v="Sales"/>
        <s v="Executive Office"/>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ount="5">
        <n v="5"/>
        <n v="3"/>
        <n v="4"/>
        <n v="2"/>
        <n v="1"/>
      </sharedItems>
    </cacheField>
    <cacheField name="SpecialProjectsCount" numFmtId="0">
      <sharedItems containsSemiMixedTypes="0" containsString="0" containsNumber="1" containsInteger="1" minValue="0" maxValue="8"/>
    </cacheField>
    <cacheField name="Latest_PerformanceReview_Date" numFmtId="15">
      <sharedItems containsSemiMixedTypes="0" containsNonDate="0" containsDate="1" containsString="0" minDate="2017-07-14T00:00:00" maxDate="2026-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HC" numFmtId="0">
      <sharedItems containsSemiMixedTypes="0" containsString="0" containsNumber="1" containsInteger="1" minValue="0" maxValue="1"/>
    </cacheField>
    <cacheField name="Age" numFmtId="0">
      <sharedItems containsSemiMixedTypes="0" containsString="0" containsNumber="1" minValue="21" maxValue="62.7"/>
    </cacheField>
    <cacheField name="AgeGroup" numFmtId="0">
      <sharedItems count="5">
        <s v="25-34"/>
        <s v="35-44"/>
        <s v="20-24"/>
        <s v="45-54"/>
        <s v="50+"/>
      </sharedItems>
    </cacheField>
    <cacheField name="Tenure" numFmtId="0">
      <sharedItems containsSemiMixedTypes="0" containsString="0" containsNumber="1" minValue="0.1" maxValue="12.7"/>
    </cacheField>
    <cacheField name="TenureGroup" numFmtId="0">
      <sharedItems count="5">
        <s v="&gt;5 Yrs"/>
        <s v="3-5 Yrs"/>
        <s v="2-3 Yrs"/>
        <s v="1-2 Yrs"/>
        <s v="&lt;1"/>
      </sharedItems>
    </cacheField>
    <cacheField name="TenureScor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74901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s v="Production Technician I"/>
    <s v="MA"/>
    <n v="1960"/>
    <d v="1996-07-10T00:00:00"/>
    <x v="0"/>
    <s v="Single"/>
    <s v="US Citizen"/>
    <s v="No"/>
    <s v="White"/>
    <d v="2019-07-05T00:00:00"/>
    <s v=""/>
    <s v="N/A-StillEmployed"/>
    <s v="Active"/>
    <x v="0"/>
    <s v="Michael Albert"/>
    <n v="22"/>
    <x v="0"/>
    <x v="0"/>
    <n v="4.5999999999999996"/>
    <x v="0"/>
    <n v="0"/>
    <d v="2026-01-17T00:00:00"/>
    <n v="0"/>
    <n v="1"/>
    <n v="1"/>
    <n v="30.1"/>
    <x v="0"/>
    <n v="7.1"/>
    <x v="0"/>
    <n v="5"/>
  </r>
  <r>
    <s v="Ait Sidi, Karthikeyan   "/>
    <n v="10084"/>
    <n v="1"/>
    <n v="1"/>
    <n v="1"/>
    <n v="5"/>
    <n v="3"/>
    <n v="3"/>
    <n v="0"/>
    <n v="104437"/>
    <n v="1"/>
    <n v="27"/>
    <s v="Sr. DBA"/>
    <s v="MA"/>
    <n v="2148"/>
    <d v="1988-05-05T00:00:00"/>
    <x v="0"/>
    <s v="Married"/>
    <s v="US Citizen"/>
    <s v="No"/>
    <s v="White"/>
    <d v="2023-03-30T00:00:00"/>
    <d v="2024-06-16T00:00:00"/>
    <s v="career change"/>
    <s v="Voluntarily Terminated"/>
    <x v="1"/>
    <s v="Simon Roup"/>
    <n v="4"/>
    <x v="1"/>
    <x v="1"/>
    <n v="4.96"/>
    <x v="1"/>
    <n v="6"/>
    <d v="2023-02-24T00:00:00"/>
    <n v="0"/>
    <n v="17"/>
    <n v="0"/>
    <n v="38.299999999999997"/>
    <x v="1"/>
    <n v="3.5"/>
    <x v="1"/>
    <n v="4"/>
  </r>
  <r>
    <s v="Akinkuolie, Sarah"/>
    <n v="10196"/>
    <n v="1"/>
    <n v="1"/>
    <n v="0"/>
    <n v="5"/>
    <n v="5"/>
    <n v="3"/>
    <n v="0"/>
    <n v="64955"/>
    <n v="1"/>
    <n v="20"/>
    <s v="Production Technician II"/>
    <s v="MA"/>
    <n v="1810"/>
    <d v="2001-09-19T00:00:00"/>
    <x v="1"/>
    <s v="Married"/>
    <s v="US Citizen"/>
    <s v="No"/>
    <s v="White"/>
    <d v="2019-07-05T00:00:00"/>
    <d v="2020-09-24T00:00:00"/>
    <s v="hours"/>
    <s v="Voluntarily Terminated"/>
    <x v="0"/>
    <s v="Kissy Sullivan"/>
    <n v="20"/>
    <x v="0"/>
    <x v="1"/>
    <n v="3.02"/>
    <x v="1"/>
    <n v="0"/>
    <d v="2019-05-15T00:00:00"/>
    <n v="0"/>
    <n v="3"/>
    <n v="0"/>
    <n v="24.8"/>
    <x v="2"/>
    <n v="7.1"/>
    <x v="0"/>
    <n v="5"/>
  </r>
  <r>
    <s v="Alagbe,Trina"/>
    <n v="10088"/>
    <n v="1"/>
    <n v="1"/>
    <n v="0"/>
    <n v="1"/>
    <n v="5"/>
    <n v="3"/>
    <n v="0"/>
    <n v="64991"/>
    <n v="0"/>
    <n v="19"/>
    <s v="Production Technician I"/>
    <s v="MA"/>
    <n v="1886"/>
    <d v="2001-09-27T00:00:00"/>
    <x v="1"/>
    <s v="Married"/>
    <s v="US Citizen"/>
    <s v="No"/>
    <s v="White"/>
    <d v="2016-01-07T00:00:00"/>
    <s v=""/>
    <s v="N/A-StillEmployed"/>
    <s v="Active"/>
    <x v="0"/>
    <s v="Elijiah Gray"/>
    <n v="16"/>
    <x v="1"/>
    <x v="1"/>
    <n v="4.84"/>
    <x v="0"/>
    <n v="0"/>
    <d v="2026-01-03T00:00:00"/>
    <n v="0"/>
    <n v="15"/>
    <n v="1"/>
    <n v="24.8"/>
    <x v="2"/>
    <n v="10.7"/>
    <x v="0"/>
    <n v="5"/>
  </r>
  <r>
    <s v="Anderson, Carol "/>
    <n v="10069"/>
    <n v="0"/>
    <n v="2"/>
    <n v="0"/>
    <n v="5"/>
    <n v="5"/>
    <n v="3"/>
    <n v="0"/>
    <n v="50825"/>
    <n v="1"/>
    <n v="19"/>
    <s v="Production Technician I"/>
    <s v="MA"/>
    <n v="2169"/>
    <d v="2002-09-08T00:00:00"/>
    <x v="1"/>
    <s v="Divorced"/>
    <s v="US Citizen"/>
    <s v="No"/>
    <s v="White"/>
    <d v="2019-07-11T00:00:00"/>
    <d v="2024-09-06T00:00:00"/>
    <s v="return to school"/>
    <s v="Voluntarily Terminated"/>
    <x v="0"/>
    <s v="Webster Butler"/>
    <n v="39"/>
    <x v="2"/>
    <x v="1"/>
    <n v="5"/>
    <x v="2"/>
    <n v="0"/>
    <d v="2023-02-01T00:00:00"/>
    <n v="0"/>
    <n v="2"/>
    <n v="0"/>
    <n v="23.8"/>
    <x v="2"/>
    <n v="7.1"/>
    <x v="0"/>
    <n v="5"/>
  </r>
  <r>
    <s v="Anderson, Linda  "/>
    <n v="10002"/>
    <n v="0"/>
    <n v="0"/>
    <n v="0"/>
    <n v="1"/>
    <n v="5"/>
    <n v="4"/>
    <n v="0"/>
    <n v="57568"/>
    <n v="0"/>
    <n v="19"/>
    <s v="Production Technician I"/>
    <s v="MA"/>
    <n v="1844"/>
    <d v="1990-05-22T00:00:00"/>
    <x v="1"/>
    <s v="Single"/>
    <s v="US Citizen"/>
    <s v="No"/>
    <s v="White"/>
    <d v="2020-01-09T00:00:00"/>
    <s v=""/>
    <s v="N/A-StillEmployed"/>
    <s v="Active"/>
    <x v="0"/>
    <s v="Amy Dunn"/>
    <n v="11"/>
    <x v="0"/>
    <x v="0"/>
    <n v="5"/>
    <x v="0"/>
    <n v="0"/>
    <d v="2026-01-07T00:00:00"/>
    <n v="0"/>
    <n v="15"/>
    <n v="1"/>
    <n v="36.299999999999997"/>
    <x v="1"/>
    <n v="6.7"/>
    <x v="0"/>
    <n v="5"/>
  </r>
  <r>
    <s v="Andreola, Colby"/>
    <n v="10194"/>
    <n v="0"/>
    <n v="0"/>
    <n v="0"/>
    <n v="1"/>
    <n v="4"/>
    <n v="3"/>
    <n v="0"/>
    <n v="95660"/>
    <n v="0"/>
    <n v="24"/>
    <s v="Software Engineer"/>
    <s v="MA"/>
    <n v="2110"/>
    <d v="1992-05-24T00:00:00"/>
    <x v="1"/>
    <s v="Single"/>
    <s v="US Citizen"/>
    <s v="No"/>
    <s v="White"/>
    <d v="2022-11-10T00:00:00"/>
    <s v=""/>
    <s v="N/A-StillEmployed"/>
    <s v="Active"/>
    <x v="2"/>
    <s v="Alex Sweetwater"/>
    <n v="10"/>
    <x v="0"/>
    <x v="1"/>
    <n v="3.04"/>
    <x v="1"/>
    <n v="4"/>
    <d v="2026-01-02T00:00:00"/>
    <n v="0"/>
    <n v="19"/>
    <n v="1"/>
    <n v="34.299999999999997"/>
    <x v="0"/>
    <n v="3.8"/>
    <x v="1"/>
    <n v="4"/>
  </r>
  <r>
    <s v="Athwal, Sam"/>
    <n v="10062"/>
    <n v="0"/>
    <n v="4"/>
    <n v="1"/>
    <n v="1"/>
    <n v="5"/>
    <n v="3"/>
    <n v="0"/>
    <n v="59365"/>
    <n v="0"/>
    <n v="19"/>
    <s v="Production Technician I"/>
    <s v="MA"/>
    <n v="2199"/>
    <d v="1996-02-18T00:00:00"/>
    <x v="0"/>
    <s v="Widowed"/>
    <s v="US Citizen"/>
    <s v="No"/>
    <s v="White"/>
    <d v="2021-09-30T00:00:00"/>
    <s v=""/>
    <s v="N/A-StillEmployed"/>
    <s v="Active"/>
    <x v="0"/>
    <s v="Ketsia Liebig"/>
    <n v="19"/>
    <x v="3"/>
    <x v="1"/>
    <n v="5"/>
    <x v="2"/>
    <n v="0"/>
    <d v="2026-02-25T00:00:00"/>
    <n v="0"/>
    <n v="19"/>
    <n v="1"/>
    <n v="30.6"/>
    <x v="0"/>
    <n v="4.8"/>
    <x v="1"/>
    <n v="4"/>
  </r>
  <r>
    <s v="Bachiochi, Linda"/>
    <n v="10114"/>
    <n v="0"/>
    <n v="0"/>
    <n v="0"/>
    <n v="3"/>
    <n v="5"/>
    <n v="3"/>
    <n v="1"/>
    <n v="47837"/>
    <n v="0"/>
    <n v="19"/>
    <s v="Production Technician I"/>
    <s v="MA"/>
    <n v="1902"/>
    <d v="1983-02-11T00:00:00"/>
    <x v="1"/>
    <s v="Single"/>
    <s v="US Citizen"/>
    <s v="No"/>
    <s v="Black or African American"/>
    <d v="2017-07-06T00:00:00"/>
    <s v=""/>
    <s v="N/A-StillEmployed"/>
    <s v="Active"/>
    <x v="0"/>
    <s v="Brannon Miller"/>
    <n v="12"/>
    <x v="4"/>
    <x v="1"/>
    <n v="4.46"/>
    <x v="1"/>
    <n v="0"/>
    <d v="2026-01-25T00:00:00"/>
    <n v="0"/>
    <n v="4"/>
    <n v="1"/>
    <n v="43.6"/>
    <x v="1"/>
    <n v="9.1"/>
    <x v="0"/>
    <n v="5"/>
  </r>
  <r>
    <s v="Bacong, Alejandro "/>
    <n v="10250"/>
    <n v="0"/>
    <n v="2"/>
    <n v="1"/>
    <n v="1"/>
    <n v="3"/>
    <n v="3"/>
    <n v="0"/>
    <n v="50178"/>
    <n v="0"/>
    <n v="14"/>
    <s v="IT Support"/>
    <s v="MA"/>
    <n v="1886"/>
    <d v="2001-01-07T00:00:00"/>
    <x v="0"/>
    <s v="Divorced"/>
    <s v="US Citizen"/>
    <s v="No"/>
    <s v="White"/>
    <d v="2023-01-05T00:00:00"/>
    <s v=""/>
    <s v="N/A-StillEmployed"/>
    <s v="Active"/>
    <x v="1"/>
    <s v="Peter Monroe"/>
    <n v="7"/>
    <x v="1"/>
    <x v="1"/>
    <n v="5"/>
    <x v="0"/>
    <n v="6"/>
    <d v="2026-02-18T00:00:00"/>
    <n v="0"/>
    <n v="16"/>
    <n v="1"/>
    <n v="25.7"/>
    <x v="0"/>
    <n v="3.7"/>
    <x v="1"/>
    <n v="4"/>
  </r>
  <r>
    <s v="Baczenski, Rachael  "/>
    <n v="10252"/>
    <n v="1"/>
    <n v="1"/>
    <n v="0"/>
    <n v="5"/>
    <n v="5"/>
    <n v="3"/>
    <n v="1"/>
    <n v="54670"/>
    <n v="1"/>
    <n v="19"/>
    <s v="Production Technician I"/>
    <s v="MA"/>
    <n v="1902"/>
    <d v="1987-01-12T00:00:00"/>
    <x v="1"/>
    <s v="Married"/>
    <s v="US Citizen"/>
    <s v="Yes"/>
    <s v="Black or African American"/>
    <d v="2019-01-10T00:00:00"/>
    <d v="2025-01-12T00:00:00"/>
    <s v="Another position"/>
    <s v="Voluntarily Terminated"/>
    <x v="0"/>
    <s v="David Stanley"/>
    <n v="14"/>
    <x v="4"/>
    <x v="1"/>
    <n v="4.2"/>
    <x v="2"/>
    <n v="0"/>
    <d v="2023-01-30T00:00:00"/>
    <n v="0"/>
    <n v="12"/>
    <n v="0"/>
    <n v="39.700000000000003"/>
    <x v="1"/>
    <n v="7.7"/>
    <x v="0"/>
    <n v="5"/>
  </r>
  <r>
    <s v="Barbara, Thomas"/>
    <n v="10242"/>
    <n v="1"/>
    <n v="1"/>
    <n v="1"/>
    <n v="5"/>
    <n v="5"/>
    <n v="3"/>
    <n v="1"/>
    <n v="47211"/>
    <n v="1"/>
    <n v="19"/>
    <s v="Production Technician I"/>
    <s v="MA"/>
    <n v="2062"/>
    <d v="1987-02-21T00:00:00"/>
    <x v="0"/>
    <s v="Married"/>
    <s v="US Citizen"/>
    <s v="Yes"/>
    <s v="Black or African American"/>
    <d v="2020-04-02T00:00:00"/>
    <d v="2024-09-19T00:00:00"/>
    <s v="unhappy"/>
    <s v="Voluntarily Terminated"/>
    <x v="0"/>
    <s v="Kissy Sullivan"/>
    <n v="20"/>
    <x v="4"/>
    <x v="1"/>
    <n v="4.2"/>
    <x v="1"/>
    <n v="0"/>
    <d v="2023-05-06T00:00:00"/>
    <n v="0"/>
    <n v="15"/>
    <n v="0"/>
    <n v="39.6"/>
    <x v="1"/>
    <n v="6.4"/>
    <x v="0"/>
    <n v="5"/>
  </r>
  <r>
    <s v="Barbossa, Hector"/>
    <n v="10012"/>
    <n v="0"/>
    <n v="2"/>
    <n v="1"/>
    <n v="1"/>
    <n v="3"/>
    <n v="4"/>
    <n v="1"/>
    <n v="92328"/>
    <n v="0"/>
    <n v="9"/>
    <s v="Data Analyst"/>
    <s v="TX"/>
    <n v="78230"/>
    <d v="2001-07-04T00:00:00"/>
    <x v="0"/>
    <s v="Divorced"/>
    <s v="US Citizen"/>
    <s v="No"/>
    <s v="Black or African American"/>
    <d v="2022-11-10T00:00:00"/>
    <s v=""/>
    <s v="N/A-StillEmployed"/>
    <s v="Active"/>
    <x v="1"/>
    <s v="Simon Roup"/>
    <n v="4"/>
    <x v="4"/>
    <x v="0"/>
    <n v="4.28"/>
    <x v="2"/>
    <n v="5"/>
    <d v="2026-02-25T00:00:00"/>
    <n v="0"/>
    <n v="9"/>
    <n v="1"/>
    <n v="25.1"/>
    <x v="0"/>
    <n v="3.8"/>
    <x v="1"/>
    <n v="4"/>
  </r>
  <r>
    <s v="Barone, Francesco  A"/>
    <n v="10265"/>
    <n v="0"/>
    <n v="0"/>
    <n v="1"/>
    <n v="1"/>
    <n v="5"/>
    <n v="3"/>
    <n v="0"/>
    <n v="58709"/>
    <n v="0"/>
    <n v="19"/>
    <s v="Production Technician I"/>
    <s v="MA"/>
    <n v="1810"/>
    <d v="1996-07-20T00:00:00"/>
    <x v="0"/>
    <s v="Single"/>
    <s v="US Citizen"/>
    <s v="No"/>
    <s v="Two or more races"/>
    <d v="2020-02-20T00:00:00"/>
    <s v=""/>
    <s v="N/A-StillEmployed"/>
    <s v="Active"/>
    <x v="0"/>
    <s v="Kelley Spirea"/>
    <n v="18"/>
    <x v="2"/>
    <x v="1"/>
    <n v="4.5999999999999996"/>
    <x v="2"/>
    <n v="0"/>
    <d v="2026-02-14T00:00:00"/>
    <n v="0"/>
    <n v="7"/>
    <n v="1"/>
    <n v="30.1"/>
    <x v="0"/>
    <n v="6.6"/>
    <x v="0"/>
    <n v="5"/>
  </r>
  <r>
    <s v="Barton, Nader"/>
    <n v="10066"/>
    <n v="0"/>
    <n v="2"/>
    <n v="1"/>
    <n v="5"/>
    <n v="5"/>
    <n v="3"/>
    <n v="0"/>
    <n v="52505"/>
    <n v="1"/>
    <n v="19"/>
    <s v="Production Technician I"/>
    <s v="MA"/>
    <n v="2747"/>
    <d v="1990-07-15T00:00:00"/>
    <x v="0"/>
    <s v="Divorced"/>
    <s v="US Citizen"/>
    <s v="No"/>
    <s v="White"/>
    <d v="2020-09-24T00:00:00"/>
    <d v="2025-04-06T00:00:00"/>
    <s v="Another position"/>
    <s v="Voluntarily Terminated"/>
    <x v="0"/>
    <s v="Michael Albert"/>
    <n v="22"/>
    <x v="5"/>
    <x v="1"/>
    <n v="5"/>
    <x v="0"/>
    <n v="0"/>
    <d v="2024-03-02T00:00:00"/>
    <n v="0"/>
    <n v="1"/>
    <n v="0"/>
    <n v="36.1"/>
    <x v="1"/>
    <n v="5.8"/>
    <x v="0"/>
    <n v="5"/>
  </r>
  <r>
    <s v="Bates, Norman"/>
    <n v="10061"/>
    <n v="0"/>
    <n v="0"/>
    <n v="1"/>
    <n v="4"/>
    <n v="5"/>
    <n v="3"/>
    <n v="0"/>
    <n v="57834"/>
    <n v="1"/>
    <n v="19"/>
    <s v="Production Technician I"/>
    <s v="MA"/>
    <n v="2050"/>
    <d v="1994-10-18T00:00:00"/>
    <x v="0"/>
    <s v="Single"/>
    <s v="US Citizen"/>
    <s v="No"/>
    <s v="White"/>
    <d v="2019-02-21T00:00:00"/>
    <d v="2025-08-04T00:00:00"/>
    <s v="attendance"/>
    <s v="Terminated for Cause"/>
    <x v="0"/>
    <s v="Kelley Spirea"/>
    <n v="18"/>
    <x v="2"/>
    <x v="1"/>
    <n v="5"/>
    <x v="2"/>
    <n v="0"/>
    <d v="2024-04-05T00:00:00"/>
    <n v="0"/>
    <n v="20"/>
    <n v="0"/>
    <n v="31.8"/>
    <x v="0"/>
    <n v="7.6"/>
    <x v="0"/>
    <n v="5"/>
  </r>
  <r>
    <s v="Beak, Kimberly  "/>
    <n v="10023"/>
    <n v="1"/>
    <n v="1"/>
    <n v="0"/>
    <n v="2"/>
    <n v="5"/>
    <n v="4"/>
    <n v="0"/>
    <n v="70131"/>
    <n v="0"/>
    <n v="20"/>
    <s v="Production Technician II"/>
    <s v="MA"/>
    <n v="2145"/>
    <d v="1979-04-17T00:00:00"/>
    <x v="1"/>
    <s v="Married"/>
    <s v="US Citizen"/>
    <s v="No"/>
    <s v="White"/>
    <d v="2024-07-21T00:00:00"/>
    <s v=""/>
    <s v="N/A-StillEmployed"/>
    <s v="Active"/>
    <x v="0"/>
    <s v="Kelley Spirea"/>
    <n v="18"/>
    <x v="3"/>
    <x v="0"/>
    <n v="4.4000000000000004"/>
    <x v="1"/>
    <n v="0"/>
    <d v="2026-01-14T00:00:00"/>
    <n v="0"/>
    <n v="16"/>
    <n v="1"/>
    <n v="47.4"/>
    <x v="3"/>
    <n v="2.1"/>
    <x v="2"/>
    <n v="3"/>
  </r>
  <r>
    <s v="Beatrice, Courtney "/>
    <n v="10055"/>
    <n v="0"/>
    <n v="0"/>
    <n v="0"/>
    <n v="1"/>
    <n v="5"/>
    <n v="3"/>
    <n v="0"/>
    <n v="59026"/>
    <n v="0"/>
    <n v="19"/>
    <s v="Production Technician I"/>
    <s v="MA"/>
    <n v="1915"/>
    <d v="1983-10-27T00:00:00"/>
    <x v="1"/>
    <s v="Single"/>
    <s v="Eligible NonCitizen"/>
    <s v="No"/>
    <s v="White"/>
    <d v="2019-04-04T00:00:00"/>
    <s v=""/>
    <s v="N/A-StillEmployed"/>
    <s v="Active"/>
    <x v="0"/>
    <s v="Elijiah Gray"/>
    <n v="16"/>
    <x v="2"/>
    <x v="1"/>
    <n v="5"/>
    <x v="0"/>
    <n v="0"/>
    <d v="2026-01-14T00:00:00"/>
    <n v="0"/>
    <n v="12"/>
    <n v="1"/>
    <n v="42.8"/>
    <x v="1"/>
    <n v="7.4"/>
    <x v="0"/>
    <n v="5"/>
  </r>
  <r>
    <s v="Becker, Renee"/>
    <n v="10245"/>
    <n v="0"/>
    <n v="0"/>
    <n v="0"/>
    <n v="4"/>
    <n v="3"/>
    <n v="3"/>
    <n v="0"/>
    <n v="110000"/>
    <n v="1"/>
    <n v="8"/>
    <s v="Database Administrator"/>
    <s v="MA"/>
    <n v="2026"/>
    <d v="1999-04-04T00:00:00"/>
    <x v="1"/>
    <s v="Single"/>
    <s v="US Citizen"/>
    <s v="Yes"/>
    <s v="White"/>
    <d v="2022-07-07T00:00:00"/>
    <d v="2023-09-12T00:00:00"/>
    <s v="performance"/>
    <s v="Terminated for Cause"/>
    <x v="1"/>
    <s v="Simon Roup"/>
    <n v="4"/>
    <x v="2"/>
    <x v="1"/>
    <n v="4.5"/>
    <x v="2"/>
    <n v="5"/>
    <d v="2022-01-15T00:00:00"/>
    <n v="0"/>
    <n v="8"/>
    <n v="0"/>
    <n v="27.4"/>
    <x v="0"/>
    <n v="4.0999999999999996"/>
    <x v="1"/>
    <n v="4"/>
  </r>
  <r>
    <s v="Becker, Scott"/>
    <n v="10277"/>
    <n v="0"/>
    <n v="0"/>
    <n v="1"/>
    <n v="3"/>
    <n v="5"/>
    <n v="3"/>
    <n v="0"/>
    <n v="53250"/>
    <n v="0"/>
    <n v="19"/>
    <s v="Production Technician I"/>
    <s v="MA"/>
    <n v="2452"/>
    <d v="1992-04-06T00:00:00"/>
    <x v="0"/>
    <s v="Single"/>
    <s v="US Citizen"/>
    <s v="No"/>
    <s v="Asian"/>
    <d v="2021-07-08T00:00:00"/>
    <s v=""/>
    <s v="N/A-StillEmployed"/>
    <s v="Active"/>
    <x v="0"/>
    <s v="Webster Butler"/>
    <m/>
    <x v="0"/>
    <x v="1"/>
    <n v="4.2"/>
    <x v="2"/>
    <n v="0"/>
    <d v="2026-01-11T00:00:00"/>
    <n v="0"/>
    <n v="13"/>
    <n v="1"/>
    <n v="34.4"/>
    <x v="0"/>
    <n v="5.0999999999999996"/>
    <x v="0"/>
    <n v="5"/>
  </r>
  <r>
    <s v="Bernstein, Sean"/>
    <n v="10046"/>
    <n v="0"/>
    <n v="0"/>
    <n v="1"/>
    <n v="1"/>
    <n v="5"/>
    <n v="3"/>
    <n v="0"/>
    <n v="51044"/>
    <n v="0"/>
    <n v="19"/>
    <s v="Production Technician I"/>
    <s v="MA"/>
    <n v="2072"/>
    <d v="1983-12-22T00:00:00"/>
    <x v="0"/>
    <s v="Single"/>
    <s v="US Citizen"/>
    <s v="Yes"/>
    <s v="White"/>
    <d v="2020-04-02T00:00:00"/>
    <s v=""/>
    <s v="N/A-StillEmployed"/>
    <s v="Active"/>
    <x v="0"/>
    <s v="Amy Dunn"/>
    <n v="11"/>
    <x v="2"/>
    <x v="1"/>
    <n v="5"/>
    <x v="1"/>
    <n v="0"/>
    <d v="2026-01-14T00:00:00"/>
    <n v="0"/>
    <n v="13"/>
    <n v="1"/>
    <n v="42.8"/>
    <x v="1"/>
    <n v="6.4"/>
    <x v="0"/>
    <n v="5"/>
  </r>
  <r>
    <s v="Biden, Lowan  M"/>
    <n v="10226"/>
    <n v="0"/>
    <n v="2"/>
    <n v="0"/>
    <n v="1"/>
    <n v="5"/>
    <n v="3"/>
    <n v="0"/>
    <n v="64919"/>
    <n v="0"/>
    <n v="19"/>
    <s v="Production Technician I"/>
    <s v="MA"/>
    <n v="2027"/>
    <d v="1971-12-27T00:00:00"/>
    <x v="1"/>
    <s v="Divorced"/>
    <s v="US Citizen"/>
    <s v="No"/>
    <s v="Asian"/>
    <d v="2021-08-19T00:00:00"/>
    <s v=""/>
    <s v="N/A-StillEmployed"/>
    <s v="Active"/>
    <x v="0"/>
    <s v="Ketsia Liebig"/>
    <n v="19"/>
    <x v="1"/>
    <x v="1"/>
    <n v="4.2"/>
    <x v="1"/>
    <n v="0"/>
    <d v="2026-01-10T00:00:00"/>
    <n v="0"/>
    <n v="2"/>
    <n v="1"/>
    <n v="54.8"/>
    <x v="3"/>
    <n v="5"/>
    <x v="1"/>
    <n v="4"/>
  </r>
  <r>
    <s v="Billis, Helen"/>
    <n v="10003"/>
    <n v="1"/>
    <n v="1"/>
    <n v="0"/>
    <n v="1"/>
    <n v="5"/>
    <n v="4"/>
    <n v="0"/>
    <n v="62910"/>
    <n v="0"/>
    <n v="19"/>
    <s v="Production Technician I"/>
    <s v="MA"/>
    <n v="2031"/>
    <d v="2002-09-01T00:00:00"/>
    <x v="1"/>
    <s v="Married"/>
    <s v="US Citizen"/>
    <s v="No"/>
    <s v="White"/>
    <d v="2022-07-07T00:00:00"/>
    <s v=""/>
    <s v="N/A-StillEmployed"/>
    <s v="Active"/>
    <x v="0"/>
    <s v="Brannon Miller"/>
    <n v="12"/>
    <x v="1"/>
    <x v="0"/>
    <n v="5"/>
    <x v="1"/>
    <n v="0"/>
    <d v="2026-02-27T00:00:00"/>
    <n v="0"/>
    <n v="19"/>
    <n v="1"/>
    <n v="23.8"/>
    <x v="2"/>
    <n v="4.0999999999999996"/>
    <x v="1"/>
    <n v="4"/>
  </r>
  <r>
    <s v="Blount, Dianna"/>
    <n v="10294"/>
    <n v="0"/>
    <n v="0"/>
    <n v="0"/>
    <n v="1"/>
    <n v="5"/>
    <n v="2"/>
    <n v="0"/>
    <n v="66441"/>
    <n v="0"/>
    <n v="20"/>
    <s v="Production Technician II"/>
    <s v="MA"/>
    <n v="2171"/>
    <d v="2003-09-21T00:00:00"/>
    <x v="1"/>
    <s v="Single"/>
    <s v="US Citizen"/>
    <s v="No"/>
    <s v="White"/>
    <d v="2019-04-04T00:00:00"/>
    <s v=""/>
    <s v="N/A-StillEmployed"/>
    <s v="Active"/>
    <x v="0"/>
    <s v="Michael Albert"/>
    <n v="22"/>
    <x v="6"/>
    <x v="2"/>
    <n v="2"/>
    <x v="1"/>
    <n v="0"/>
    <d v="2026-02-27T00:00:00"/>
    <n v="2"/>
    <n v="3"/>
    <n v="1"/>
    <n v="22.8"/>
    <x v="2"/>
    <n v="7.4"/>
    <x v="0"/>
    <n v="5"/>
  </r>
  <r>
    <s v="Bondwell, Betsy"/>
    <n v="10267"/>
    <n v="0"/>
    <n v="0"/>
    <n v="0"/>
    <n v="5"/>
    <n v="5"/>
    <n v="3"/>
    <n v="0"/>
    <n v="57815"/>
    <n v="1"/>
    <n v="20"/>
    <s v="Production Technician II"/>
    <s v="MA"/>
    <n v="2210"/>
    <d v="1980-01-16T00:00:00"/>
    <x v="1"/>
    <s v="Single"/>
    <s v="US Citizen"/>
    <s v="No"/>
    <s v="White"/>
    <d v="2019-01-10T00:00:00"/>
    <d v="2022-04-04T00:00:00"/>
    <s v="career change"/>
    <s v="Voluntarily Terminated"/>
    <x v="0"/>
    <s v="Elijiah Gray"/>
    <n v="16"/>
    <x v="2"/>
    <x v="1"/>
    <n v="4.8"/>
    <x v="0"/>
    <n v="0"/>
    <d v="2021-03-04T00:00:00"/>
    <n v="0"/>
    <n v="5"/>
    <n v="0"/>
    <n v="46.7"/>
    <x v="3"/>
    <n v="7.7"/>
    <x v="0"/>
    <n v="5"/>
  </r>
  <r>
    <s v="Booth, Frank"/>
    <n v="10199"/>
    <n v="0"/>
    <n v="0"/>
    <n v="1"/>
    <n v="4"/>
    <n v="3"/>
    <n v="3"/>
    <n v="0"/>
    <n v="103613"/>
    <n v="1"/>
    <n v="30"/>
    <s v="Enterprise Architect"/>
    <s v="CT"/>
    <n v="6033"/>
    <d v="1977-07-30T00:00:00"/>
    <x v="0"/>
    <s v="Single"/>
    <s v="US Citizen"/>
    <s v="No"/>
    <s v="Black or African American"/>
    <d v="2022-02-17T00:00:00"/>
    <d v="2024-02-19T00:00:00"/>
    <s v="Learned that he is a gangster"/>
    <s v="Terminated for Cause"/>
    <x v="1"/>
    <s v="Simon Roup"/>
    <n v="4"/>
    <x v="0"/>
    <x v="1"/>
    <n v="3.5"/>
    <x v="0"/>
    <n v="7"/>
    <d v="2023-01-10T00:00:00"/>
    <n v="0"/>
    <n v="2"/>
    <n v="0"/>
    <n v="49.1"/>
    <x v="3"/>
    <n v="4.5999999999999996"/>
    <x v="1"/>
    <n v="4"/>
  </r>
  <r>
    <s v="Boutwell, Bonalyn"/>
    <n v="10081"/>
    <n v="1"/>
    <n v="1"/>
    <n v="0"/>
    <n v="1"/>
    <n v="1"/>
    <n v="3"/>
    <n v="1"/>
    <n v="106367"/>
    <n v="0"/>
    <n v="26"/>
    <s v="Sr. Accountant"/>
    <s v="MA"/>
    <n v="2468"/>
    <d v="2000-04-04T00:00:00"/>
    <x v="1"/>
    <s v="Married"/>
    <s v="US Citizen"/>
    <s v="No"/>
    <s v="Black or African American"/>
    <d v="2023-02-16T00:00:00"/>
    <s v=""/>
    <s v="N/A-StillEmployed"/>
    <s v="Active"/>
    <x v="3"/>
    <s v="Brandon R. LeBlanc"/>
    <n v="3"/>
    <x v="4"/>
    <x v="1"/>
    <n v="5"/>
    <x v="2"/>
    <n v="3"/>
    <d v="2026-02-18T00:00:00"/>
    <n v="0"/>
    <n v="4"/>
    <n v="1"/>
    <n v="26.4"/>
    <x v="0"/>
    <n v="3.6"/>
    <x v="1"/>
    <n v="4"/>
  </r>
  <r>
    <s v="Bozzi, Charles"/>
    <n v="10175"/>
    <n v="0"/>
    <n v="0"/>
    <n v="1"/>
    <n v="5"/>
    <n v="5"/>
    <n v="3"/>
    <n v="0"/>
    <n v="74312"/>
    <n v="1"/>
    <n v="18"/>
    <s v="Production Manager"/>
    <s v="MA"/>
    <n v="1901"/>
    <d v="1983-03-10T00:00:00"/>
    <x v="0"/>
    <s v="Single"/>
    <s v="US Citizen"/>
    <s v="No"/>
    <s v="Asian"/>
    <d v="2021-09-30T00:00:00"/>
    <d v="2022-08-07T00:00:00"/>
    <s v="retiring"/>
    <s v="Voluntarily Terminated"/>
    <x v="0"/>
    <s v="Janet King"/>
    <n v="2"/>
    <x v="1"/>
    <x v="1"/>
    <n v="3.39"/>
    <x v="1"/>
    <n v="0"/>
    <d v="2021-02-20T00:00:00"/>
    <n v="0"/>
    <n v="14"/>
    <n v="0"/>
    <n v="43.5"/>
    <x v="1"/>
    <n v="4.8"/>
    <x v="1"/>
    <n v="4"/>
  </r>
  <r>
    <s v="Brill, Donna"/>
    <n v="10177"/>
    <n v="1"/>
    <n v="1"/>
    <n v="0"/>
    <n v="5"/>
    <n v="5"/>
    <n v="3"/>
    <n v="0"/>
    <n v="53492"/>
    <n v="1"/>
    <n v="19"/>
    <s v="Production Technician I"/>
    <s v="MA"/>
    <n v="1701"/>
    <d v="2003-08-24T00:00:00"/>
    <x v="1"/>
    <s v="Married"/>
    <s v="US Citizen"/>
    <s v="No"/>
    <s v="White"/>
    <d v="2020-04-02T00:00:00"/>
    <d v="2021-06-15T00:00:00"/>
    <s v="Another position"/>
    <s v="Voluntarily Terminated"/>
    <x v="0"/>
    <s v="David Stanley"/>
    <n v="14"/>
    <x v="2"/>
    <x v="1"/>
    <n v="3.35"/>
    <x v="2"/>
    <n v="0"/>
    <d v="2020-03-04T00:00:00"/>
    <n v="0"/>
    <n v="6"/>
    <n v="0"/>
    <n v="23"/>
    <x v="2"/>
    <n v="6.4"/>
    <x v="0"/>
    <n v="5"/>
  </r>
  <r>
    <s v="Brown, Mia"/>
    <n v="10238"/>
    <n v="1"/>
    <n v="1"/>
    <n v="0"/>
    <n v="1"/>
    <n v="1"/>
    <n v="3"/>
    <n v="1"/>
    <n v="63000"/>
    <n v="0"/>
    <n v="1"/>
    <s v="Accountant I"/>
    <s v="MA"/>
    <n v="1450"/>
    <d v="2000-11-24T00:00:00"/>
    <x v="1"/>
    <s v="Married"/>
    <s v="US Citizen"/>
    <s v="No"/>
    <s v="Black or African American"/>
    <d v="2016-10-27T00:00:00"/>
    <s v=""/>
    <s v="N/A-StillEmployed"/>
    <s v="Active"/>
    <x v="3"/>
    <s v="Brandon R. LeBlanc"/>
    <n v="1"/>
    <x v="4"/>
    <x v="1"/>
    <n v="4.5"/>
    <x v="3"/>
    <n v="6"/>
    <d v="2026-01-15T00:00:00"/>
    <n v="0"/>
    <n v="14"/>
    <n v="1"/>
    <n v="25.8"/>
    <x v="0"/>
    <n v="9.8000000000000007"/>
    <x v="0"/>
    <n v="5"/>
  </r>
  <r>
    <s v="Buccheri, Joseph  "/>
    <n v="10184"/>
    <n v="0"/>
    <n v="0"/>
    <n v="1"/>
    <n v="1"/>
    <n v="5"/>
    <n v="3"/>
    <n v="0"/>
    <n v="65288"/>
    <n v="0"/>
    <n v="20"/>
    <s v="Production Technician II"/>
    <s v="MA"/>
    <n v="1013"/>
    <d v="1996-07-28T00:00:00"/>
    <x v="0"/>
    <s v="Single"/>
    <s v="US Citizen"/>
    <s v="No"/>
    <s v="White"/>
    <d v="2022-09-29T00:00:00"/>
    <s v=""/>
    <s v="N/A-StillEmployed"/>
    <s v="Active"/>
    <x v="0"/>
    <s v="Webster Butler"/>
    <m/>
    <x v="2"/>
    <x v="1"/>
    <n v="3.19"/>
    <x v="1"/>
    <n v="0"/>
    <d v="2026-02-01T00:00:00"/>
    <n v="0"/>
    <n v="9"/>
    <n v="1"/>
    <n v="30.1"/>
    <x v="0"/>
    <n v="3.8"/>
    <x v="1"/>
    <n v="4"/>
  </r>
  <r>
    <s v="Bugali, Josephine "/>
    <n v="10203"/>
    <n v="0"/>
    <n v="3"/>
    <n v="0"/>
    <n v="3"/>
    <n v="5"/>
    <n v="3"/>
    <n v="1"/>
    <n v="64375"/>
    <n v="0"/>
    <n v="19"/>
    <s v="Production Technician I"/>
    <s v="MA"/>
    <n v="2043"/>
    <d v="1982-10-30T00:00:00"/>
    <x v="1"/>
    <s v="Separated"/>
    <s v="US Citizen"/>
    <s v="No"/>
    <s v="Black or African American"/>
    <d v="2021-11-11T00:00:00"/>
    <s v=""/>
    <s v="N/A-StillEmployed"/>
    <s v="Active"/>
    <x v="0"/>
    <s v="Kissy Sullivan"/>
    <n v="20"/>
    <x v="4"/>
    <x v="1"/>
    <n v="3.5"/>
    <x v="0"/>
    <n v="0"/>
    <d v="2026-01-21T00:00:00"/>
    <n v="0"/>
    <n v="17"/>
    <n v="1"/>
    <n v="43.8"/>
    <x v="1"/>
    <n v="4.8"/>
    <x v="1"/>
    <n v="4"/>
  </r>
  <r>
    <s v="Bunbury, Jessica"/>
    <n v="10188"/>
    <n v="1"/>
    <n v="1"/>
    <n v="0"/>
    <n v="5"/>
    <n v="6"/>
    <n v="3"/>
    <n v="0"/>
    <n v="74326"/>
    <n v="1"/>
    <n v="3"/>
    <s v="Area Sales Manager"/>
    <s v="VA"/>
    <n v="21851"/>
    <d v="1977-06-01T00:00:00"/>
    <x v="1"/>
    <s v="Married"/>
    <s v="Eligible NonCitizen"/>
    <s v="No"/>
    <s v="Black or African American"/>
    <d v="2019-08-15T00:00:00"/>
    <d v="2022-08-02T00:00:00"/>
    <s v="Another position"/>
    <s v="Voluntarily Terminated"/>
    <x v="4"/>
    <s v="John Smith"/>
    <n v="17"/>
    <x v="2"/>
    <x v="1"/>
    <n v="3.14"/>
    <x v="0"/>
    <n v="0"/>
    <d v="2020-02-10T00:00:00"/>
    <n v="1"/>
    <n v="19"/>
    <n v="0"/>
    <n v="49.2"/>
    <x v="3"/>
    <n v="7"/>
    <x v="0"/>
    <n v="5"/>
  </r>
  <r>
    <s v="Burke, Joelle"/>
    <n v="10107"/>
    <n v="0"/>
    <n v="0"/>
    <n v="0"/>
    <n v="1"/>
    <n v="5"/>
    <n v="3"/>
    <n v="0"/>
    <n v="63763"/>
    <n v="0"/>
    <n v="20"/>
    <s v="Production Technician II"/>
    <s v="MA"/>
    <n v="2148"/>
    <d v="1993-03-02T00:00:00"/>
    <x v="1"/>
    <s v="Single"/>
    <s v="US Citizen"/>
    <s v="No"/>
    <s v="Black or African American"/>
    <d v="2020-03-05T00:00:00"/>
    <s v=""/>
    <s v="N/A-StillEmployed"/>
    <s v="Active"/>
    <x v="0"/>
    <s v="Amy Dunn"/>
    <n v="11"/>
    <x v="3"/>
    <x v="1"/>
    <n v="4.51"/>
    <x v="2"/>
    <n v="0"/>
    <d v="2026-02-21T00:00:00"/>
    <n v="0"/>
    <n v="3"/>
    <n v="1"/>
    <n v="33.5"/>
    <x v="0"/>
    <n v="6.5"/>
    <x v="0"/>
    <n v="5"/>
  </r>
  <r>
    <s v="Burkett, Benjamin "/>
    <n v="10181"/>
    <n v="1"/>
    <n v="1"/>
    <n v="1"/>
    <n v="1"/>
    <n v="5"/>
    <n v="3"/>
    <n v="0"/>
    <n v="62162"/>
    <n v="0"/>
    <n v="20"/>
    <s v="Production Technician II"/>
    <s v="MA"/>
    <n v="1890"/>
    <d v="1990-08-19T00:00:00"/>
    <x v="0"/>
    <s v="Married"/>
    <s v="US Citizen"/>
    <s v="No"/>
    <s v="White"/>
    <d v="2019-04-04T00:00:00"/>
    <s v=""/>
    <s v="N/A-StillEmployed"/>
    <s v="Active"/>
    <x v="0"/>
    <s v="Ketsia Liebig"/>
    <n v="19"/>
    <x v="1"/>
    <x v="1"/>
    <n v="3.25"/>
    <x v="0"/>
    <n v="0"/>
    <d v="2026-01-14T00:00:00"/>
    <n v="0"/>
    <n v="15"/>
    <n v="1"/>
    <n v="36"/>
    <x v="1"/>
    <n v="7.4"/>
    <x v="0"/>
    <n v="5"/>
  </r>
  <r>
    <s v="Cady, Max "/>
    <n v="10150"/>
    <n v="0"/>
    <n v="0"/>
    <n v="1"/>
    <n v="1"/>
    <n v="4"/>
    <n v="3"/>
    <n v="0"/>
    <n v="77692"/>
    <n v="0"/>
    <n v="25"/>
    <s v="Software Engineering Manager"/>
    <s v="MA"/>
    <n v="2184"/>
    <d v="1979-11-22T00:00:00"/>
    <x v="0"/>
    <s v="Single"/>
    <s v="US Citizen"/>
    <s v="No"/>
    <s v="White"/>
    <d v="2019-08-15T00:00:00"/>
    <s v=""/>
    <s v="N/A-StillEmployed"/>
    <s v="Active"/>
    <x v="2"/>
    <s v="Jennifer Zamora"/>
    <n v="5"/>
    <x v="2"/>
    <x v="1"/>
    <n v="3.84"/>
    <x v="1"/>
    <n v="5"/>
    <d v="2026-01-21T00:00:00"/>
    <n v="0"/>
    <n v="4"/>
    <n v="1"/>
    <n v="46.8"/>
    <x v="3"/>
    <n v="7"/>
    <x v="0"/>
    <n v="5"/>
  </r>
  <r>
    <s v="Candie, Calvin"/>
    <n v="10001"/>
    <n v="0"/>
    <n v="0"/>
    <n v="1"/>
    <n v="1"/>
    <n v="5"/>
    <n v="4"/>
    <n v="0"/>
    <n v="72640"/>
    <n v="0"/>
    <n v="18"/>
    <s v="Production Manager"/>
    <s v="MA"/>
    <n v="2169"/>
    <d v="1996-08-09T00:00:00"/>
    <x v="0"/>
    <s v="Single"/>
    <s v="US Citizen"/>
    <s v="No"/>
    <s v="White"/>
    <d v="2024-01-28T00:00:00"/>
    <s v=""/>
    <s v="N/A-StillEmployed"/>
    <s v="Active"/>
    <x v="0"/>
    <s v="Janet King"/>
    <n v="2"/>
    <x v="1"/>
    <x v="0"/>
    <n v="5"/>
    <x v="1"/>
    <n v="0"/>
    <d v="2026-02-22T00:00:00"/>
    <n v="0"/>
    <n v="14"/>
    <n v="1"/>
    <n v="30"/>
    <x v="0"/>
    <n v="2.7"/>
    <x v="2"/>
    <n v="3"/>
  </r>
  <r>
    <s v="Carabbio, Judith"/>
    <n v="10085"/>
    <n v="0"/>
    <n v="0"/>
    <n v="0"/>
    <n v="1"/>
    <n v="4"/>
    <n v="3"/>
    <n v="0"/>
    <n v="93396"/>
    <n v="0"/>
    <n v="24"/>
    <s v="Software Engineer"/>
    <s v="MA"/>
    <n v="2132"/>
    <d v="2000-04-05T00:00:00"/>
    <x v="1"/>
    <s v="Single"/>
    <s v="US Citizen"/>
    <s v="No"/>
    <s v="White"/>
    <d v="2021-11-11T00:00:00"/>
    <s v=""/>
    <s v="N/A-StillEmployed"/>
    <s v="Active"/>
    <x v="2"/>
    <s v="Alex Sweetwater"/>
    <n v="10"/>
    <x v="1"/>
    <x v="1"/>
    <n v="4.96"/>
    <x v="2"/>
    <n v="6"/>
    <d v="2026-01-30T00:00:00"/>
    <n v="0"/>
    <n v="3"/>
    <n v="1"/>
    <n v="26.4"/>
    <x v="0"/>
    <n v="4.8"/>
    <x v="1"/>
    <n v="4"/>
  </r>
  <r>
    <s v="Carey, Michael  "/>
    <n v="10115"/>
    <n v="0"/>
    <n v="0"/>
    <n v="1"/>
    <n v="1"/>
    <n v="5"/>
    <n v="3"/>
    <n v="0"/>
    <n v="52846"/>
    <n v="0"/>
    <n v="19"/>
    <s v="Production Technician I"/>
    <s v="MA"/>
    <n v="1701"/>
    <d v="1996-02-02T00:00:00"/>
    <x v="0"/>
    <s v="Single"/>
    <s v="US Citizen"/>
    <s v="No"/>
    <s v="Black or African American"/>
    <d v="2022-03-31T00:00:00"/>
    <s v=""/>
    <s v="N/A-StillEmployed"/>
    <s v="Active"/>
    <x v="0"/>
    <s v="Kelley Spirea"/>
    <n v="18"/>
    <x v="0"/>
    <x v="1"/>
    <n v="4.43"/>
    <x v="1"/>
    <n v="0"/>
    <d v="2026-02-01T00:00:00"/>
    <n v="0"/>
    <n v="14"/>
    <n v="1"/>
    <n v="30.6"/>
    <x v="0"/>
    <n v="4.5"/>
    <x v="1"/>
    <n v="4"/>
  </r>
  <r>
    <s v="Carr, Claudia  N"/>
    <n v="10082"/>
    <n v="0"/>
    <n v="0"/>
    <n v="0"/>
    <n v="2"/>
    <n v="3"/>
    <n v="3"/>
    <n v="0"/>
    <n v="100031"/>
    <n v="0"/>
    <n v="27"/>
    <s v="Sr. DBA"/>
    <s v="MA"/>
    <n v="1886"/>
    <d v="1999-06-06T00:00:00"/>
    <x v="1"/>
    <s v="Single"/>
    <s v="US Citizen"/>
    <s v="No"/>
    <s v="Black or African American"/>
    <d v="2024-06-30T00:00:00"/>
    <s v=""/>
    <s v="N/A-StillEmployed"/>
    <s v="Active"/>
    <x v="1"/>
    <s v="Simon Roup"/>
    <n v="4"/>
    <x v="0"/>
    <x v="1"/>
    <n v="5"/>
    <x v="0"/>
    <n v="6"/>
    <d v="2026-02-18T00:00:00"/>
    <n v="0"/>
    <n v="7"/>
    <n v="1"/>
    <n v="27.2"/>
    <x v="0"/>
    <n v="2.2000000000000002"/>
    <x v="2"/>
    <n v="3"/>
  </r>
  <r>
    <s v="Carter, Michelle "/>
    <n v="10040"/>
    <n v="0"/>
    <n v="0"/>
    <n v="0"/>
    <n v="1"/>
    <n v="6"/>
    <n v="3"/>
    <n v="0"/>
    <n v="71860"/>
    <n v="0"/>
    <n v="3"/>
    <s v="Area Sales Manager"/>
    <s v="VT"/>
    <n v="5664"/>
    <d v="1976-05-15T00:00:00"/>
    <x v="1"/>
    <s v="Single"/>
    <s v="US Citizen"/>
    <s v="No"/>
    <s v="White"/>
    <d v="2022-08-18T00:00:00"/>
    <s v=""/>
    <s v="N/A-StillEmployed"/>
    <s v="Active"/>
    <x v="4"/>
    <s v="John Smith"/>
    <n v="17"/>
    <x v="1"/>
    <x v="1"/>
    <n v="5"/>
    <x v="0"/>
    <n v="0"/>
    <d v="2026-01-21T00:00:00"/>
    <n v="0"/>
    <n v="7"/>
    <n v="1"/>
    <n v="50.3"/>
    <x v="3"/>
    <n v="4"/>
    <x v="1"/>
    <n v="4"/>
  </r>
  <r>
    <s v="Chace, Beatrice "/>
    <n v="10067"/>
    <n v="0"/>
    <n v="0"/>
    <n v="0"/>
    <n v="1"/>
    <n v="5"/>
    <n v="3"/>
    <n v="0"/>
    <n v="61656"/>
    <n v="0"/>
    <n v="19"/>
    <s v="Production Technician I"/>
    <s v="MA"/>
    <n v="2763"/>
    <d v="1964-01-02T00:00:00"/>
    <x v="1"/>
    <s v="Single"/>
    <s v="US Citizen"/>
    <s v="No"/>
    <s v="White"/>
    <d v="2022-09-29T00:00:00"/>
    <s v=""/>
    <s v="N/A-StillEmployed"/>
    <s v="Active"/>
    <x v="0"/>
    <s v="Michael Albert"/>
    <n v="22"/>
    <x v="2"/>
    <x v="1"/>
    <n v="5"/>
    <x v="2"/>
    <n v="0"/>
    <d v="2026-02-12T00:00:00"/>
    <n v="0"/>
    <n v="11"/>
    <n v="1"/>
    <n v="62.7"/>
    <x v="4"/>
    <n v="3.8"/>
    <x v="1"/>
    <n v="4"/>
  </r>
  <r>
    <s v="Champaigne, Brian"/>
    <n v="10108"/>
    <n v="1"/>
    <n v="1"/>
    <n v="1"/>
    <n v="1"/>
    <n v="3"/>
    <n v="3"/>
    <n v="0"/>
    <n v="110929"/>
    <n v="0"/>
    <n v="5"/>
    <s v="BI Director"/>
    <s v="MA"/>
    <n v="2045"/>
    <d v="1985-02-09T00:00:00"/>
    <x v="0"/>
    <s v="Married"/>
    <s v="US Citizen"/>
    <s v="No"/>
    <s v="White"/>
    <d v="2024-09-06T00:00:00"/>
    <s v=""/>
    <s v="N/A-StillEmployed"/>
    <s v="Active"/>
    <x v="1"/>
    <s v="Jennifer Zamora"/>
    <n v="5"/>
    <x v="1"/>
    <x v="1"/>
    <n v="4.5"/>
    <x v="0"/>
    <n v="7"/>
    <d v="2026-01-15T00:00:00"/>
    <n v="0"/>
    <n v="8"/>
    <n v="1"/>
    <n v="41.6"/>
    <x v="1"/>
    <n v="1.8"/>
    <x v="3"/>
    <n v="2"/>
  </r>
  <r>
    <s v="Chan, Lin"/>
    <n v="10210"/>
    <n v="0"/>
    <n v="0"/>
    <n v="0"/>
    <n v="1"/>
    <n v="5"/>
    <n v="3"/>
    <n v="0"/>
    <n v="54237"/>
    <n v="0"/>
    <n v="19"/>
    <s v="Production Technician I"/>
    <s v="MA"/>
    <n v="2170"/>
    <d v="1992-02-12T00:00:00"/>
    <x v="1"/>
    <s v="Single"/>
    <s v="US Citizen"/>
    <s v="No"/>
    <s v="White"/>
    <d v="2022-05-12T00:00:00"/>
    <s v=""/>
    <s v="N/A-StillEmployed"/>
    <s v="Active"/>
    <x v="0"/>
    <s v="Elijiah Gray"/>
    <n v="16"/>
    <x v="1"/>
    <x v="1"/>
    <n v="3.3"/>
    <x v="2"/>
    <n v="0"/>
    <d v="2026-02-19T00:00:00"/>
    <n v="0"/>
    <n v="11"/>
    <n v="1"/>
    <n v="34.6"/>
    <x v="0"/>
    <n v="4.3"/>
    <x v="1"/>
    <n v="4"/>
  </r>
  <r>
    <s v="Chang, Donovan  E"/>
    <n v="10154"/>
    <n v="0"/>
    <n v="0"/>
    <n v="1"/>
    <n v="1"/>
    <n v="5"/>
    <n v="3"/>
    <n v="0"/>
    <n v="60380"/>
    <n v="0"/>
    <n v="19"/>
    <s v="Production Technician I"/>
    <s v="MA"/>
    <n v="1845"/>
    <d v="1996-08-24T00:00:00"/>
    <x v="0"/>
    <s v="Single"/>
    <s v="US Citizen"/>
    <s v="No"/>
    <s v="White"/>
    <d v="2021-07-08T00:00:00"/>
    <s v=""/>
    <s v="N/A-StillEmployed"/>
    <s v="Active"/>
    <x v="0"/>
    <s v="Webster Butler"/>
    <m/>
    <x v="0"/>
    <x v="1"/>
    <n v="3.8"/>
    <x v="0"/>
    <n v="0"/>
    <d v="2026-01-14T00:00:00"/>
    <n v="0"/>
    <n v="4"/>
    <n v="1"/>
    <n v="30"/>
    <x v="0"/>
    <n v="5.0999999999999996"/>
    <x v="0"/>
    <n v="5"/>
  </r>
  <r>
    <s v="Chigurh, Anton"/>
    <n v="10200"/>
    <n v="0"/>
    <n v="0"/>
    <n v="1"/>
    <n v="1"/>
    <n v="6"/>
    <n v="3"/>
    <n v="0"/>
    <n v="66808"/>
    <n v="0"/>
    <n v="3"/>
    <s v="Area Sales Manager"/>
    <s v="TX"/>
    <n v="78207"/>
    <d v="1983-06-11T00:00:00"/>
    <x v="0"/>
    <s v="Single"/>
    <s v="Eligible NonCitizen"/>
    <s v="No"/>
    <s v="Black or African American"/>
    <d v="2020-05-14T00:00:00"/>
    <s v=""/>
    <s v="N/A-StillEmployed"/>
    <s v="Active"/>
    <x v="4"/>
    <s v="Lynn Daneault"/>
    <n v="21"/>
    <x v="3"/>
    <x v="1"/>
    <n v="3"/>
    <x v="0"/>
    <n v="0"/>
    <d v="2026-01-19T00:00:00"/>
    <n v="0"/>
    <n v="17"/>
    <n v="1"/>
    <n v="43.2"/>
    <x v="1"/>
    <n v="6.3"/>
    <x v="0"/>
    <n v="5"/>
  </r>
  <r>
    <s v="Chivukula, Enola"/>
    <n v="10240"/>
    <n v="0"/>
    <n v="0"/>
    <n v="0"/>
    <n v="5"/>
    <n v="5"/>
    <n v="3"/>
    <n v="0"/>
    <n v="64786"/>
    <n v="1"/>
    <n v="19"/>
    <s v="Production Technician I"/>
    <s v="MA"/>
    <n v="1775"/>
    <d v="1996-08-27T00:00:00"/>
    <x v="1"/>
    <s v="Single"/>
    <s v="US Citizen"/>
    <s v="No"/>
    <s v="White"/>
    <d v="2019-06-27T00:00:00"/>
    <d v="2023-11-15T00:00:00"/>
    <s v="relocation out of area"/>
    <s v="Voluntarily Terminated"/>
    <x v="0"/>
    <s v="Amy Dunn"/>
    <n v="11"/>
    <x v="1"/>
    <x v="1"/>
    <n v="4.3"/>
    <x v="2"/>
    <n v="0"/>
    <d v="2022-03-10T00:00:00"/>
    <n v="0"/>
    <n v="3"/>
    <n v="0"/>
    <n v="30"/>
    <x v="0"/>
    <n v="7.2"/>
    <x v="0"/>
    <n v="5"/>
  </r>
  <r>
    <s v="Cierpiszewski, Caroline  "/>
    <n v="10168"/>
    <n v="0"/>
    <n v="0"/>
    <n v="0"/>
    <n v="1"/>
    <n v="5"/>
    <n v="3"/>
    <n v="0"/>
    <n v="64816"/>
    <n v="0"/>
    <n v="19"/>
    <s v="Production Technician I"/>
    <s v="MA"/>
    <n v="2044"/>
    <d v="2001-05-31T00:00:00"/>
    <x v="1"/>
    <s v="Single"/>
    <s v="Non-Citizen"/>
    <s v="No"/>
    <s v="Black or African American"/>
    <d v="2019-10-03T00:00:00"/>
    <s v=""/>
    <s v="N/A-StillEmployed"/>
    <s v="Active"/>
    <x v="0"/>
    <s v="Ketsia Liebig"/>
    <n v="19"/>
    <x v="1"/>
    <x v="1"/>
    <n v="3.58"/>
    <x v="0"/>
    <n v="0"/>
    <d v="2026-01-30T00:00:00"/>
    <n v="0"/>
    <n v="3"/>
    <n v="1"/>
    <n v="25.3"/>
    <x v="0"/>
    <n v="6.8"/>
    <x v="0"/>
    <n v="5"/>
  </r>
  <r>
    <s v="Clayton, Rick"/>
    <n v="10220"/>
    <n v="0"/>
    <n v="0"/>
    <n v="1"/>
    <n v="1"/>
    <n v="3"/>
    <n v="3"/>
    <n v="0"/>
    <n v="68678"/>
    <n v="0"/>
    <n v="14"/>
    <s v="IT Support"/>
    <s v="MA"/>
    <n v="2170"/>
    <d v="1998-09-05T00:00:00"/>
    <x v="0"/>
    <s v="Single"/>
    <s v="US Citizen"/>
    <s v="No"/>
    <s v="White"/>
    <d v="2020-09-05T00:00:00"/>
    <s v=""/>
    <s v="N/A-StillEmployed"/>
    <s v="Active"/>
    <x v="1"/>
    <s v="Eric Dougall"/>
    <n v="6"/>
    <x v="1"/>
    <x v="1"/>
    <n v="4.7"/>
    <x v="1"/>
    <n v="6"/>
    <d v="2026-02-27T00:00:00"/>
    <n v="0"/>
    <n v="2"/>
    <n v="1"/>
    <n v="27.8"/>
    <x v="0"/>
    <n v="5.8"/>
    <x v="0"/>
    <n v="5"/>
  </r>
  <r>
    <s v="Cloninger, Jennifer"/>
    <n v="10275"/>
    <n v="1"/>
    <n v="1"/>
    <n v="0"/>
    <n v="5"/>
    <n v="5"/>
    <n v="3"/>
    <n v="0"/>
    <n v="64066"/>
    <n v="1"/>
    <n v="20"/>
    <s v="Production Technician II"/>
    <s v="MA"/>
    <n v="1752"/>
    <d v="1994-08-31T00:00:00"/>
    <x v="1"/>
    <s v="Married"/>
    <s v="US Citizen"/>
    <s v="No"/>
    <s v="White"/>
    <d v="2019-05-16T00:00:00"/>
    <d v="2021-01-07T00:00:00"/>
    <s v="unhappy"/>
    <s v="Voluntarily Terminated"/>
    <x v="0"/>
    <s v="Brannon Miller"/>
    <n v="12"/>
    <x v="2"/>
    <x v="1"/>
    <n v="4.2"/>
    <x v="0"/>
    <n v="0"/>
    <d v="2019-05-03T00:00:00"/>
    <n v="0"/>
    <n v="9"/>
    <n v="0"/>
    <n v="32"/>
    <x v="0"/>
    <n v="7.3"/>
    <x v="0"/>
    <n v="5"/>
  </r>
  <r>
    <s v="Close, Phil"/>
    <n v="10269"/>
    <n v="1"/>
    <n v="1"/>
    <n v="1"/>
    <n v="5"/>
    <n v="5"/>
    <n v="3"/>
    <n v="0"/>
    <n v="59369"/>
    <n v="1"/>
    <n v="20"/>
    <s v="Production Technician II"/>
    <s v="MA"/>
    <n v="2169"/>
    <d v="1991-11-25T00:00:00"/>
    <x v="0"/>
    <s v="Married"/>
    <s v="US Citizen"/>
    <s v="No"/>
    <s v="White"/>
    <d v="2018-08-30T00:00:00"/>
    <d v="2019-09-26T00:00:00"/>
    <s v="career change"/>
    <s v="Voluntarily Terminated"/>
    <x v="0"/>
    <s v="David Stanley"/>
    <n v="14"/>
    <x v="1"/>
    <x v="1"/>
    <n v="4.2"/>
    <x v="2"/>
    <n v="0"/>
    <d v="2018-05-04T00:00:00"/>
    <n v="0"/>
    <n v="6"/>
    <n v="0"/>
    <n v="34.799999999999997"/>
    <x v="0"/>
    <n v="8"/>
    <x v="0"/>
    <n v="5"/>
  </r>
  <r>
    <s v="Clukey, Elijian"/>
    <n v="10029"/>
    <n v="1"/>
    <n v="1"/>
    <n v="1"/>
    <n v="2"/>
    <n v="5"/>
    <n v="4"/>
    <n v="0"/>
    <n v="50373"/>
    <n v="0"/>
    <n v="19"/>
    <s v="Production Technician I"/>
    <s v="MA"/>
    <n v="2134"/>
    <d v="1993-08-26T00:00:00"/>
    <x v="0"/>
    <s v="Married"/>
    <s v="US Citizen"/>
    <s v="No"/>
    <s v="White"/>
    <d v="2024-07-06T00:00:00"/>
    <s v=""/>
    <s v="N/A-StillEmployed"/>
    <s v="Active"/>
    <x v="0"/>
    <s v="Brannon Miller"/>
    <n v="12"/>
    <x v="3"/>
    <x v="0"/>
    <n v="4.0999999999999996"/>
    <x v="2"/>
    <n v="0"/>
    <d v="2026-02-28T00:00:00"/>
    <n v="0"/>
    <n v="5"/>
    <n v="1"/>
    <n v="33"/>
    <x v="0"/>
    <n v="2.1"/>
    <x v="2"/>
    <n v="3"/>
  </r>
  <r>
    <s v="Cockel, James"/>
    <n v="10261"/>
    <n v="0"/>
    <n v="0"/>
    <n v="1"/>
    <n v="1"/>
    <n v="5"/>
    <n v="3"/>
    <n v="0"/>
    <n v="63108"/>
    <n v="0"/>
    <n v="19"/>
    <s v="Production Technician I"/>
    <s v="MA"/>
    <n v="2452"/>
    <d v="1990-09-08T00:00:00"/>
    <x v="0"/>
    <s v="Single"/>
    <s v="US Citizen"/>
    <s v="No"/>
    <s v="White"/>
    <d v="2021-07-08T00:00:00"/>
    <s v=""/>
    <s v="N/A-StillEmployed"/>
    <s v="Active"/>
    <x v="0"/>
    <s v="David Stanley"/>
    <n v="14"/>
    <x v="3"/>
    <x v="1"/>
    <n v="4.4000000000000004"/>
    <x v="0"/>
    <n v="0"/>
    <d v="2026-01-14T00:00:00"/>
    <n v="0"/>
    <n v="3"/>
    <n v="1"/>
    <n v="35.799999999999997"/>
    <x v="1"/>
    <n v="5.0999999999999996"/>
    <x v="0"/>
    <n v="5"/>
  </r>
  <r>
    <s v="Cole, Spencer"/>
    <n v="10292"/>
    <n v="0"/>
    <n v="0"/>
    <n v="1"/>
    <n v="4"/>
    <n v="5"/>
    <n v="2"/>
    <n v="0"/>
    <n v="59144"/>
    <n v="1"/>
    <n v="19"/>
    <s v="Production Technician I"/>
    <s v="MA"/>
    <n v="1880"/>
    <d v="1992-08-12T00:00:00"/>
    <x v="0"/>
    <s v="Single"/>
    <s v="US Citizen"/>
    <s v="No"/>
    <s v="Black or African American"/>
    <d v="2019-07-11T00:00:00"/>
    <d v="2024-09-23T00:00:00"/>
    <s v="performance"/>
    <s v="Terminated for Cause"/>
    <x v="0"/>
    <s v="Kissy Sullivan"/>
    <n v="20"/>
    <x v="0"/>
    <x v="2"/>
    <n v="2"/>
    <x v="1"/>
    <n v="0"/>
    <d v="2023-05-01T00:00:00"/>
    <n v="5"/>
    <n v="16"/>
    <n v="0"/>
    <n v="34"/>
    <x v="0"/>
    <n v="7.1"/>
    <x v="0"/>
    <n v="5"/>
  </r>
  <r>
    <s v="Corleone, Michael"/>
    <n v="10282"/>
    <n v="0"/>
    <n v="2"/>
    <n v="1"/>
    <n v="1"/>
    <n v="5"/>
    <n v="2"/>
    <n v="0"/>
    <n v="68051"/>
    <n v="0"/>
    <n v="18"/>
    <s v="Production Manager"/>
    <s v="MA"/>
    <n v="1803"/>
    <d v="1988-12-17T00:00:00"/>
    <x v="0"/>
    <s v="Divorced"/>
    <s v="US Citizen"/>
    <s v="No"/>
    <s v="White"/>
    <d v="2018-07-20T00:00:00"/>
    <s v=""/>
    <s v="N/A-StillEmployed"/>
    <s v="Active"/>
    <x v="0"/>
    <s v="Janet King"/>
    <n v="2"/>
    <x v="6"/>
    <x v="2"/>
    <n v="4.13"/>
    <x v="3"/>
    <n v="0"/>
    <d v="2026-01-14T00:00:00"/>
    <n v="3"/>
    <n v="3"/>
    <n v="1"/>
    <n v="37.799999999999997"/>
    <x v="1"/>
    <n v="8.1"/>
    <x v="0"/>
    <n v="5"/>
  </r>
  <r>
    <s v="Corleone, Vito"/>
    <n v="10019"/>
    <n v="0"/>
    <n v="0"/>
    <n v="1"/>
    <n v="1"/>
    <n v="5"/>
    <n v="4"/>
    <n v="0"/>
    <n v="170500"/>
    <n v="0"/>
    <n v="10"/>
    <s v="Director of Operations"/>
    <s v="MA"/>
    <n v="2030"/>
    <d v="1996-03-19T00:00:00"/>
    <x v="0"/>
    <s v="Single"/>
    <s v="US Citizen"/>
    <s v="No"/>
    <s v="Black or African American"/>
    <d v="2017-01-05T00:00:00"/>
    <s v=""/>
    <s v="N/A-StillEmployed"/>
    <s v="Active"/>
    <x v="0"/>
    <s v="Janet King"/>
    <n v="2"/>
    <x v="1"/>
    <x v="0"/>
    <n v="3.7"/>
    <x v="0"/>
    <n v="0"/>
    <d v="2026-02-04T00:00:00"/>
    <n v="0"/>
    <n v="15"/>
    <n v="1"/>
    <n v="30.5"/>
    <x v="0"/>
    <n v="9.6999999999999993"/>
    <x v="0"/>
    <n v="5"/>
  </r>
  <r>
    <s v="Cornett, Lisa "/>
    <n v="10094"/>
    <n v="1"/>
    <n v="1"/>
    <n v="0"/>
    <n v="1"/>
    <n v="5"/>
    <n v="3"/>
    <n v="0"/>
    <n v="63381"/>
    <n v="0"/>
    <n v="19"/>
    <s v="Production Technician I"/>
    <s v="MA"/>
    <n v="2189"/>
    <d v="1990-03-31T00:00:00"/>
    <x v="1"/>
    <s v="Married"/>
    <s v="US Citizen"/>
    <s v="Yes"/>
    <s v="White"/>
    <d v="2023-01-05T00:00:00"/>
    <s v=""/>
    <s v="N/A-StillEmployed"/>
    <s v="Active"/>
    <x v="0"/>
    <s v="Kelley Spirea"/>
    <n v="18"/>
    <x v="1"/>
    <x v="1"/>
    <n v="4.7300000000000004"/>
    <x v="0"/>
    <n v="0"/>
    <d v="2026-02-14T00:00:00"/>
    <n v="0"/>
    <n v="6"/>
    <n v="1"/>
    <n v="36.5"/>
    <x v="1"/>
    <n v="3.7"/>
    <x v="1"/>
    <n v="4"/>
  </r>
  <r>
    <s v="Costello, Frank"/>
    <n v="10193"/>
    <n v="1"/>
    <n v="1"/>
    <n v="1"/>
    <n v="1"/>
    <n v="3"/>
    <n v="3"/>
    <n v="0"/>
    <n v="83552"/>
    <n v="0"/>
    <n v="9"/>
    <s v="Data Analyst"/>
    <s v="MA"/>
    <n v="1810"/>
    <d v="1999-08-26T00:00:00"/>
    <x v="0"/>
    <s v="Married"/>
    <s v="US Citizen"/>
    <s v="No"/>
    <s v="White"/>
    <d v="2023-03-30T00:00:00"/>
    <s v=""/>
    <s v="N/A-StillEmployed"/>
    <s v="Active"/>
    <x v="1"/>
    <s v="Simon Roup"/>
    <n v="4"/>
    <x v="1"/>
    <x v="1"/>
    <n v="3.04"/>
    <x v="1"/>
    <n v="6"/>
    <d v="2026-01-22T00:00:00"/>
    <n v="0"/>
    <n v="2"/>
    <n v="1"/>
    <n v="27"/>
    <x v="0"/>
    <n v="3.5"/>
    <x v="1"/>
    <n v="4"/>
  </r>
  <r>
    <s v="Crimmings,   Jean"/>
    <n v="10132"/>
    <n v="0"/>
    <n v="0"/>
    <n v="0"/>
    <n v="2"/>
    <n v="5"/>
    <n v="3"/>
    <n v="0"/>
    <n v="56149"/>
    <n v="0"/>
    <n v="19"/>
    <s v="Production Technician I"/>
    <s v="MA"/>
    <n v="1821"/>
    <d v="2000-04-10T00:00:00"/>
    <x v="1"/>
    <s v="Single"/>
    <s v="US Citizen"/>
    <s v="No"/>
    <s v="White"/>
    <d v="2024-07-06T00:00:00"/>
    <s v=""/>
    <s v="N/A-StillEmployed"/>
    <s v="Active"/>
    <x v="0"/>
    <s v="Michael Albert"/>
    <n v="22"/>
    <x v="0"/>
    <x v="1"/>
    <n v="4.12"/>
    <x v="0"/>
    <n v="0"/>
    <d v="2026-01-28T00:00:00"/>
    <n v="0"/>
    <n v="15"/>
    <n v="1"/>
    <n v="26.4"/>
    <x v="0"/>
    <n v="2.1"/>
    <x v="2"/>
    <n v="3"/>
  </r>
  <r>
    <s v="Cross, Noah"/>
    <n v="10083"/>
    <n v="0"/>
    <n v="0"/>
    <n v="1"/>
    <n v="1"/>
    <n v="3"/>
    <n v="3"/>
    <n v="0"/>
    <n v="92329"/>
    <n v="0"/>
    <n v="28"/>
    <s v="Sr. Network Engineer"/>
    <s v="CT"/>
    <n v="6278"/>
    <d v="1978-09-09T00:00:00"/>
    <x v="0"/>
    <s v="Single"/>
    <s v="US Citizen"/>
    <s v="No"/>
    <s v="White"/>
    <d v="2022-11-10T00:00:00"/>
    <s v=""/>
    <s v="N/A-StillEmployed"/>
    <s v="Active"/>
    <x v="1"/>
    <s v="Peter Monroe"/>
    <n v="7"/>
    <x v="3"/>
    <x v="1"/>
    <n v="5"/>
    <x v="1"/>
    <n v="4"/>
    <d v="2026-01-02T00:00:00"/>
    <n v="0"/>
    <n v="5"/>
    <n v="1"/>
    <n v="47.8"/>
    <x v="3"/>
    <n v="3.8"/>
    <x v="1"/>
    <n v="4"/>
  </r>
  <r>
    <s v="Daneault, Lynn"/>
    <n v="10099"/>
    <n v="0"/>
    <n v="0"/>
    <n v="0"/>
    <n v="1"/>
    <n v="6"/>
    <n v="3"/>
    <n v="0"/>
    <n v="65729"/>
    <n v="0"/>
    <n v="21"/>
    <s v="Sales Manager"/>
    <s v="VT"/>
    <n v="5473"/>
    <d v="2003-04-19T00:00:00"/>
    <x v="1"/>
    <s v="Single"/>
    <s v="US Citizen"/>
    <s v="No"/>
    <s v="White"/>
    <d v="2022-05-05T00:00:00"/>
    <s v=""/>
    <s v="N/A-StillEmployed"/>
    <s v="Active"/>
    <x v="4"/>
    <s v="Debra Houlihan"/>
    <n v="15"/>
    <x v="1"/>
    <x v="1"/>
    <n v="4.62"/>
    <x v="2"/>
    <n v="0"/>
    <d v="2026-01-24T00:00:00"/>
    <n v="0"/>
    <n v="8"/>
    <n v="1"/>
    <n v="23.4"/>
    <x v="2"/>
    <n v="4.3"/>
    <x v="1"/>
    <n v="4"/>
  </r>
  <r>
    <s v="Daniele, Ann  "/>
    <n v="10212"/>
    <n v="1"/>
    <n v="1"/>
    <n v="0"/>
    <n v="3"/>
    <n v="3"/>
    <n v="3"/>
    <n v="0"/>
    <n v="85028"/>
    <n v="0"/>
    <n v="28"/>
    <s v="Sr. Network Engineer"/>
    <s v="CT"/>
    <n v="6033"/>
    <d v="1965-01-18T00:00:00"/>
    <x v="1"/>
    <s v="Married"/>
    <s v="US Citizen"/>
    <s v="No"/>
    <s v="White"/>
    <d v="2022-11-10T00:00:00"/>
    <s v=""/>
    <s v="N/A-StillEmployed"/>
    <s v="Active"/>
    <x v="1"/>
    <s v="Peter Monroe"/>
    <n v="7"/>
    <x v="0"/>
    <x v="1"/>
    <n v="3.1"/>
    <x v="0"/>
    <n v="8"/>
    <d v="2026-02-12T00:00:00"/>
    <n v="0"/>
    <n v="19"/>
    <n v="1"/>
    <n v="61.7"/>
    <x v="4"/>
    <n v="3.8"/>
    <x v="1"/>
    <n v="4"/>
  </r>
  <r>
    <s v="Darson, Jene'ya "/>
    <n v="10056"/>
    <n v="1"/>
    <n v="1"/>
    <n v="0"/>
    <n v="1"/>
    <n v="5"/>
    <n v="3"/>
    <n v="0"/>
    <n v="57583"/>
    <n v="0"/>
    <n v="19"/>
    <s v="Production Technician I"/>
    <s v="MA"/>
    <n v="2110"/>
    <d v="1991-11-05T00:00:00"/>
    <x v="1"/>
    <s v="Married"/>
    <s v="US Citizen"/>
    <s v="No"/>
    <s v="White"/>
    <d v="2020-07-02T00:00:00"/>
    <s v=""/>
    <s v="N/A-StillEmployed"/>
    <s v="Active"/>
    <x v="0"/>
    <s v="Elijiah Gray"/>
    <n v="16"/>
    <x v="1"/>
    <x v="1"/>
    <n v="5"/>
    <x v="1"/>
    <n v="0"/>
    <d v="2026-02-25T00:00:00"/>
    <n v="0"/>
    <n v="1"/>
    <n v="1"/>
    <n v="34.799999999999997"/>
    <x v="0"/>
    <n v="6.1"/>
    <x v="0"/>
    <n v="5"/>
  </r>
  <r>
    <s v="Davis, Daniel"/>
    <n v="10143"/>
    <n v="0"/>
    <n v="0"/>
    <n v="1"/>
    <n v="1"/>
    <n v="5"/>
    <n v="3"/>
    <n v="0"/>
    <n v="56294"/>
    <n v="0"/>
    <n v="20"/>
    <s v="Production Technician II"/>
    <s v="MA"/>
    <n v="2458"/>
    <d v="1992-09-14T00:00:00"/>
    <x v="0"/>
    <s v="Single"/>
    <s v="Eligible NonCitizen"/>
    <s v="No"/>
    <s v="Two or more races"/>
    <d v="2019-11-07T00:00:00"/>
    <s v=""/>
    <s v="N/A-StillEmployed"/>
    <s v="Active"/>
    <x v="0"/>
    <s v="Kissy Sullivan"/>
    <n v="20"/>
    <x v="0"/>
    <x v="1"/>
    <n v="3.96"/>
    <x v="2"/>
    <n v="0"/>
    <d v="2026-02-27T00:00:00"/>
    <n v="0"/>
    <n v="6"/>
    <n v="1"/>
    <n v="33.799999999999997"/>
    <x v="0"/>
    <n v="6.8"/>
    <x v="0"/>
    <n v="5"/>
  </r>
  <r>
    <s v="Dee, Randy"/>
    <n v="10311"/>
    <n v="1"/>
    <n v="1"/>
    <n v="1"/>
    <n v="1"/>
    <n v="6"/>
    <n v="1"/>
    <n v="0"/>
    <n v="56991"/>
    <n v="0"/>
    <n v="19"/>
    <s v="Production Technician I"/>
    <s v="MA"/>
    <n v="2138"/>
    <d v="2001-04-15T00:00:00"/>
    <x v="0"/>
    <s v="Married"/>
    <s v="US Citizen"/>
    <s v="No"/>
    <s v="White"/>
    <d v="2026-07-09T00:00:00"/>
    <s v=""/>
    <s v="N/A-StillEmployed"/>
    <s v="Active"/>
    <x v="0"/>
    <s v="Brannon Miller"/>
    <n v="12"/>
    <x v="1"/>
    <x v="1"/>
    <n v="4.3"/>
    <x v="2"/>
    <n v="3"/>
    <d v="2026-01-31T00:00:00"/>
    <n v="2"/>
    <n v="2"/>
    <n v="1"/>
    <n v="25.4"/>
    <x v="0"/>
    <n v="0.1"/>
    <x v="4"/>
    <n v="1"/>
  </r>
  <r>
    <s v="DeGweck,  James"/>
    <n v="10070"/>
    <n v="1"/>
    <n v="1"/>
    <n v="1"/>
    <n v="5"/>
    <n v="5"/>
    <n v="3"/>
    <n v="0"/>
    <n v="55722"/>
    <n v="1"/>
    <n v="19"/>
    <s v="Production Technician I"/>
    <s v="MA"/>
    <n v="1810"/>
    <d v="1990-10-31T00:00:00"/>
    <x v="0"/>
    <s v="Married"/>
    <s v="US Citizen"/>
    <s v="No"/>
    <s v="White"/>
    <d v="2019-05-16T00:00:00"/>
    <d v="2024-06-08T00:00:00"/>
    <s v="unhappy"/>
    <s v="Voluntarily Terminated"/>
    <x v="0"/>
    <s v="Webster Butler"/>
    <n v="39"/>
    <x v="1"/>
    <x v="1"/>
    <n v="5"/>
    <x v="2"/>
    <n v="0"/>
    <d v="2023-04-02T00:00:00"/>
    <n v="0"/>
    <n v="14"/>
    <n v="0"/>
    <n v="35.799999999999997"/>
    <x v="1"/>
    <n v="7.3"/>
    <x v="0"/>
    <n v="5"/>
  </r>
  <r>
    <s v="Del Bosque, Keyla"/>
    <n v="10155"/>
    <n v="0"/>
    <n v="0"/>
    <n v="0"/>
    <n v="1"/>
    <n v="4"/>
    <n v="3"/>
    <n v="0"/>
    <n v="101199"/>
    <n v="0"/>
    <n v="24"/>
    <s v="Software Engineer"/>
    <s v="MA"/>
    <n v="2176"/>
    <d v="1992-07-05T00:00:00"/>
    <x v="1"/>
    <s v="Single"/>
    <s v="US Citizen"/>
    <s v="No"/>
    <s v="Black or African American"/>
    <d v="2020-01-09T00:00:00"/>
    <s v=""/>
    <s v="N/A-StillEmployed"/>
    <s v="Active"/>
    <x v="2"/>
    <s v="Alex Sweetwater"/>
    <n v="10"/>
    <x v="6"/>
    <x v="1"/>
    <n v="3.79"/>
    <x v="0"/>
    <n v="5"/>
    <d v="2026-01-25T00:00:00"/>
    <n v="0"/>
    <n v="8"/>
    <n v="1"/>
    <n v="34.1"/>
    <x v="0"/>
    <n v="6.7"/>
    <x v="0"/>
    <n v="5"/>
  </r>
  <r>
    <s v="Delarge, Alex"/>
    <n v="10306"/>
    <n v="0"/>
    <n v="0"/>
    <n v="1"/>
    <n v="1"/>
    <n v="6"/>
    <n v="1"/>
    <n v="0"/>
    <n v="61568"/>
    <n v="0"/>
    <n v="3"/>
    <s v="Area Sales Manager"/>
    <s v="AL"/>
    <n v="36006"/>
    <d v="1988-11-02T00:00:00"/>
    <x v="0"/>
    <s v="Single"/>
    <s v="US Citizen"/>
    <s v="No"/>
    <s v="Two or more races"/>
    <d v="2022-09-29T00:00:00"/>
    <s v=""/>
    <s v="N/A-StillEmployed"/>
    <s v="Active"/>
    <x v="4"/>
    <s v="John Smith"/>
    <n v="17"/>
    <x v="1"/>
    <x v="3"/>
    <n v="1.93"/>
    <x v="1"/>
    <n v="0"/>
    <d v="2026-01-30T00:00:00"/>
    <n v="6"/>
    <n v="5"/>
    <n v="1"/>
    <n v="37.799999999999997"/>
    <x v="1"/>
    <n v="3.8"/>
    <x v="1"/>
    <n v="4"/>
  </r>
  <r>
    <s v="Demita, Carla"/>
    <n v="10100"/>
    <n v="0"/>
    <n v="3"/>
    <n v="0"/>
    <n v="5"/>
    <n v="5"/>
    <n v="3"/>
    <n v="0"/>
    <n v="58275"/>
    <n v="1"/>
    <n v="20"/>
    <s v="Production Technician II"/>
    <s v="MA"/>
    <n v="2343"/>
    <d v="1964-02-25T00:00:00"/>
    <x v="1"/>
    <s v="Separated"/>
    <s v="US Citizen"/>
    <s v="No"/>
    <s v="Black or African American"/>
    <d v="2019-04-04T00:00:00"/>
    <d v="2023-11-04T00:00:00"/>
    <s v="more money"/>
    <s v="Voluntarily Terminated"/>
    <x v="0"/>
    <s v="Kelley Spirea"/>
    <n v="18"/>
    <x v="2"/>
    <x v="1"/>
    <n v="4.62"/>
    <x v="0"/>
    <n v="0"/>
    <d v="2022-05-06T00:00:00"/>
    <n v="0"/>
    <n v="1"/>
    <n v="0"/>
    <n v="62.6"/>
    <x v="4"/>
    <n v="7.4"/>
    <x v="0"/>
    <n v="5"/>
  </r>
  <r>
    <s v="Desimone, Carl "/>
    <n v="10310"/>
    <n v="1"/>
    <n v="1"/>
    <n v="1"/>
    <n v="1"/>
    <n v="5"/>
    <n v="1"/>
    <n v="0"/>
    <n v="53189"/>
    <n v="0"/>
    <n v="19"/>
    <s v="Production Technician I"/>
    <s v="MA"/>
    <n v="2061"/>
    <d v="1980-04-19T00:00:00"/>
    <x v="0"/>
    <s v="Married"/>
    <s v="US Citizen"/>
    <s v="No"/>
    <s v="White"/>
    <d v="2022-07-07T00:00:00"/>
    <s v=""/>
    <s v="N/A-StillEmployed"/>
    <s v="Active"/>
    <x v="0"/>
    <s v="Amy Dunn"/>
    <n v="11"/>
    <x v="1"/>
    <x v="3"/>
    <n v="1.1200000000000001"/>
    <x v="3"/>
    <n v="0"/>
    <d v="2026-01-31T00:00:00"/>
    <n v="4"/>
    <n v="9"/>
    <n v="1"/>
    <n v="46.4"/>
    <x v="3"/>
    <n v="4.0999999999999996"/>
    <x v="1"/>
    <n v="4"/>
  </r>
  <r>
    <s v="DeVito, Tommy"/>
    <n v="10197"/>
    <n v="0"/>
    <n v="0"/>
    <n v="1"/>
    <n v="1"/>
    <n v="3"/>
    <n v="3"/>
    <n v="0"/>
    <n v="96820"/>
    <n v="0"/>
    <n v="4"/>
    <s v="BI Developer"/>
    <s v="MA"/>
    <n v="2045"/>
    <d v="1996-09-04T00:00:00"/>
    <x v="0"/>
    <s v="Single"/>
    <s v="US Citizen"/>
    <s v="No"/>
    <s v="White"/>
    <d v="2025-02-15T00:00:00"/>
    <s v=""/>
    <s v="N/A-StillEmployed"/>
    <s v="Active"/>
    <x v="1"/>
    <s v="Brian Champaigne"/>
    <n v="13"/>
    <x v="1"/>
    <x v="1"/>
    <n v="3.01"/>
    <x v="0"/>
    <n v="7"/>
    <d v="2026-01-23T00:00:00"/>
    <n v="0"/>
    <n v="15"/>
    <n v="1"/>
    <n v="29.8"/>
    <x v="0"/>
    <n v="1.6"/>
    <x v="3"/>
    <n v="2"/>
  </r>
  <r>
    <s v="Dickinson, Geoff "/>
    <n v="10276"/>
    <n v="0"/>
    <n v="0"/>
    <n v="1"/>
    <n v="1"/>
    <n v="5"/>
    <n v="3"/>
    <n v="0"/>
    <n v="51259"/>
    <n v="0"/>
    <n v="19"/>
    <s v="Production Technician I"/>
    <s v="MA"/>
    <n v="2180"/>
    <d v="1995-11-15T00:00:00"/>
    <x v="0"/>
    <s v="Single"/>
    <s v="US Citizen"/>
    <s v="No"/>
    <s v="White"/>
    <d v="2022-05-12T00:00:00"/>
    <s v=""/>
    <s v="N/A-StillEmployed"/>
    <s v="Active"/>
    <x v="0"/>
    <s v="Ketsia Liebig"/>
    <n v="19"/>
    <x v="1"/>
    <x v="1"/>
    <n v="4.3"/>
    <x v="2"/>
    <n v="0"/>
    <d v="2026-02-19T00:00:00"/>
    <n v="0"/>
    <n v="1"/>
    <n v="1"/>
    <n v="30.8"/>
    <x v="0"/>
    <n v="4.3"/>
    <x v="1"/>
    <n v="4"/>
  </r>
  <r>
    <s v="Dietrich, Jenna  "/>
    <n v="10304"/>
    <n v="0"/>
    <n v="0"/>
    <n v="0"/>
    <n v="1"/>
    <n v="6"/>
    <n v="1"/>
    <n v="0"/>
    <n v="59231"/>
    <n v="0"/>
    <n v="3"/>
    <s v="Area Sales Manager"/>
    <s v="WA"/>
    <n v="98052"/>
    <d v="2000-05-14T00:00:00"/>
    <x v="1"/>
    <s v="Single"/>
    <s v="US Citizen"/>
    <s v="Yes"/>
    <s v="White"/>
    <d v="2020-02-20T00:00:00"/>
    <s v=""/>
    <s v="N/A-StillEmployed"/>
    <s v="Active"/>
    <x v="4"/>
    <s v="John Smith"/>
    <n v="17"/>
    <x v="7"/>
    <x v="3"/>
    <n v="2.2999999999999998"/>
    <x v="4"/>
    <n v="0"/>
    <d v="2026-01-29T00:00:00"/>
    <n v="2"/>
    <n v="17"/>
    <n v="1"/>
    <n v="26.3"/>
    <x v="0"/>
    <n v="6.6"/>
    <x v="0"/>
    <n v="5"/>
  </r>
  <r>
    <s v="DiNocco, Lily "/>
    <n v="10284"/>
    <n v="1"/>
    <n v="1"/>
    <n v="0"/>
    <n v="1"/>
    <n v="5"/>
    <n v="2"/>
    <n v="0"/>
    <n v="61584"/>
    <n v="0"/>
    <n v="19"/>
    <s v="Production Technician I"/>
    <s v="MA"/>
    <n v="2351"/>
    <d v="1991-12-02T00:00:00"/>
    <x v="1"/>
    <s v="Married"/>
    <s v="US Citizen"/>
    <s v="No"/>
    <s v="Black or African American"/>
    <d v="2021-01-07T00:00:00"/>
    <s v=""/>
    <s v="N/A-StillEmployed"/>
    <s v="Active"/>
    <x v="0"/>
    <s v="Brannon Miller"/>
    <n v="12"/>
    <x v="1"/>
    <x v="2"/>
    <n v="3.88"/>
    <x v="2"/>
    <n v="0"/>
    <d v="2026-01-18T00:00:00"/>
    <n v="0"/>
    <n v="6"/>
    <n v="1"/>
    <n v="34.799999999999997"/>
    <x v="0"/>
    <n v="5.7"/>
    <x v="0"/>
    <n v="5"/>
  </r>
  <r>
    <s v="Dobrin, Denisa  S"/>
    <n v="10207"/>
    <n v="0"/>
    <n v="0"/>
    <n v="0"/>
    <n v="1"/>
    <n v="5"/>
    <n v="3"/>
    <n v="0"/>
    <n v="46335"/>
    <n v="0"/>
    <n v="19"/>
    <s v="Production Technician I"/>
    <s v="MA"/>
    <n v="2125"/>
    <d v="1999-10-07T00:00:00"/>
    <x v="1"/>
    <s v="Single"/>
    <s v="US Citizen"/>
    <s v="Yes"/>
    <s v="White"/>
    <d v="2020-04-02T00:00:00"/>
    <s v=""/>
    <s v="N/A-StillEmployed"/>
    <s v="Active"/>
    <x v="0"/>
    <s v="David Stanley"/>
    <n v="14"/>
    <x v="6"/>
    <x v="1"/>
    <n v="3.4"/>
    <x v="0"/>
    <n v="0"/>
    <d v="2026-02-19T00:00:00"/>
    <n v="0"/>
    <n v="15"/>
    <n v="1"/>
    <n v="26.8"/>
    <x v="0"/>
    <n v="6.4"/>
    <x v="0"/>
    <n v="5"/>
  </r>
  <r>
    <s v="Dolan, Linda"/>
    <n v="10133"/>
    <n v="1"/>
    <n v="1"/>
    <n v="0"/>
    <n v="1"/>
    <n v="3"/>
    <n v="3"/>
    <n v="0"/>
    <n v="70621"/>
    <n v="0"/>
    <n v="14"/>
    <s v="IT Support"/>
    <s v="MA"/>
    <n v="2119"/>
    <d v="2001-07-18T00:00:00"/>
    <x v="1"/>
    <s v="Married"/>
    <s v="US Citizen"/>
    <s v="No"/>
    <s v="White"/>
    <d v="2023-01-05T00:00:00"/>
    <s v=""/>
    <s v="N/A-StillEmployed"/>
    <s v="Active"/>
    <x v="1"/>
    <s v="Peter Monroe"/>
    <n v="7"/>
    <x v="3"/>
    <x v="1"/>
    <n v="4.1100000000000003"/>
    <x v="2"/>
    <n v="6"/>
    <d v="2026-02-25T00:00:00"/>
    <n v="0"/>
    <n v="16"/>
    <n v="1"/>
    <n v="25.1"/>
    <x v="0"/>
    <n v="3.7"/>
    <x v="1"/>
    <n v="4"/>
  </r>
  <r>
    <s v="Dougall, Eric"/>
    <n v="10028"/>
    <n v="0"/>
    <n v="0"/>
    <n v="1"/>
    <n v="1"/>
    <n v="3"/>
    <n v="4"/>
    <n v="0"/>
    <n v="138888"/>
    <n v="0"/>
    <n v="13"/>
    <s v="IT Manager - Support"/>
    <s v="MA"/>
    <n v="1886"/>
    <d v="1983-07-09T00:00:00"/>
    <x v="0"/>
    <s v="Single"/>
    <s v="US Citizen"/>
    <s v="No"/>
    <s v="Black or African American"/>
    <d v="2022-01-05T00:00:00"/>
    <s v=""/>
    <s v="N/A-StillEmployed"/>
    <s v="Active"/>
    <x v="1"/>
    <s v="Jennifer Zamora"/>
    <n v="5"/>
    <x v="1"/>
    <x v="0"/>
    <n v="4.3"/>
    <x v="0"/>
    <n v="5"/>
    <d v="2026-01-04T00:00:00"/>
    <n v="0"/>
    <n v="4"/>
    <n v="1"/>
    <n v="43.1"/>
    <x v="1"/>
    <n v="4.7"/>
    <x v="1"/>
    <n v="4"/>
  </r>
  <r>
    <s v="Driver, Elle"/>
    <n v="10006"/>
    <n v="0"/>
    <n v="0"/>
    <n v="0"/>
    <n v="1"/>
    <n v="6"/>
    <n v="4"/>
    <n v="0"/>
    <n v="74241"/>
    <n v="0"/>
    <n v="3"/>
    <s v="Area Sales Manager"/>
    <s v="CA"/>
    <n v="90007"/>
    <d v="2001-11-08T00:00:00"/>
    <x v="1"/>
    <s v="Single"/>
    <s v="US Citizen"/>
    <s v="No"/>
    <s v="White"/>
    <d v="2019-01-10T00:00:00"/>
    <s v=""/>
    <s v="N/A-StillEmployed"/>
    <s v="Active"/>
    <x v="4"/>
    <s v="Lynn Daneault"/>
    <n v="21"/>
    <x v="1"/>
    <x v="0"/>
    <n v="4.7699999999999996"/>
    <x v="0"/>
    <n v="0"/>
    <d v="2026-01-27T00:00:00"/>
    <n v="0"/>
    <n v="14"/>
    <n v="1"/>
    <n v="24.8"/>
    <x v="2"/>
    <n v="7.7"/>
    <x v="0"/>
    <n v="5"/>
  </r>
  <r>
    <s v="Dunn, Amy  "/>
    <n v="10105"/>
    <n v="0"/>
    <n v="0"/>
    <n v="0"/>
    <n v="1"/>
    <n v="5"/>
    <n v="3"/>
    <n v="0"/>
    <n v="75188"/>
    <n v="0"/>
    <n v="18"/>
    <s v="Production Manager"/>
    <s v="MA"/>
    <n v="1731"/>
    <d v="1986-11-28T00:00:00"/>
    <x v="1"/>
    <s v="Single"/>
    <s v="US Citizen"/>
    <s v="No"/>
    <s v="White"/>
    <d v="2022-09-18T00:00:00"/>
    <s v=""/>
    <s v="N/A-StillEmployed"/>
    <s v="Active"/>
    <x v="0"/>
    <s v="Janet King"/>
    <n v="2"/>
    <x v="2"/>
    <x v="1"/>
    <n v="4.5199999999999996"/>
    <x v="2"/>
    <n v="0"/>
    <d v="2026-01-15T00:00:00"/>
    <n v="0"/>
    <n v="4"/>
    <n v="1"/>
    <n v="39.799999999999997"/>
    <x v="1"/>
    <n v="3.8"/>
    <x v="1"/>
    <n v="4"/>
  </r>
  <r>
    <s v="Dunne, Amy"/>
    <n v="10211"/>
    <n v="1"/>
    <n v="1"/>
    <n v="0"/>
    <n v="1"/>
    <n v="5"/>
    <n v="3"/>
    <n v="0"/>
    <n v="62514"/>
    <n v="0"/>
    <n v="19"/>
    <s v="Production Technician I"/>
    <s v="MA"/>
    <n v="1749"/>
    <d v="1986-09-23T00:00:00"/>
    <x v="1"/>
    <s v="Married"/>
    <s v="US Citizen"/>
    <s v="No"/>
    <s v="White"/>
    <d v="2018-04-26T00:00:00"/>
    <s v=""/>
    <s v="N/A-StillEmployed"/>
    <s v="Active"/>
    <x v="0"/>
    <s v="Ketsia Liebig"/>
    <n v="19"/>
    <x v="2"/>
    <x v="1"/>
    <n v="2.9"/>
    <x v="1"/>
    <n v="0"/>
    <d v="2026-01-21T00:00:00"/>
    <n v="0"/>
    <n v="6"/>
    <n v="1"/>
    <n v="39.799999999999997"/>
    <x v="1"/>
    <n v="8.4"/>
    <x v="0"/>
    <n v="5"/>
  </r>
  <r>
    <s v="Eaton, Marianne"/>
    <n v="10064"/>
    <n v="1"/>
    <n v="1"/>
    <n v="0"/>
    <n v="5"/>
    <n v="5"/>
    <n v="3"/>
    <n v="0"/>
    <n v="60070"/>
    <n v="1"/>
    <n v="19"/>
    <s v="Production Technician I"/>
    <s v="MA"/>
    <n v="2343"/>
    <d v="2004-09-05T00:00:00"/>
    <x v="1"/>
    <s v="Married"/>
    <s v="US Citizen"/>
    <s v="No"/>
    <s v="White"/>
    <d v="2019-04-04T00:00:00"/>
    <d v="2025-06-06T00:00:00"/>
    <s v="military"/>
    <s v="Voluntarily Terminated"/>
    <x v="0"/>
    <s v="Kissy Sullivan"/>
    <n v="20"/>
    <x v="2"/>
    <x v="1"/>
    <n v="5"/>
    <x v="1"/>
    <n v="0"/>
    <d v="2024-04-09T00:00:00"/>
    <n v="0"/>
    <n v="7"/>
    <n v="0"/>
    <n v="21.8"/>
    <x v="2"/>
    <n v="7.4"/>
    <x v="0"/>
    <n v="5"/>
  </r>
  <r>
    <s v="Engdahl, Jean"/>
    <n v="10247"/>
    <n v="0"/>
    <n v="0"/>
    <n v="1"/>
    <n v="1"/>
    <n v="5"/>
    <n v="3"/>
    <n v="0"/>
    <n v="48888"/>
    <n v="0"/>
    <n v="19"/>
    <s v="Production Technician I"/>
    <s v="MA"/>
    <n v="2026"/>
    <d v="1987-05-31T00:00:00"/>
    <x v="0"/>
    <s v="Single"/>
    <s v="US Citizen"/>
    <s v="No"/>
    <s v="White"/>
    <d v="2022-11-10T00:00:00"/>
    <s v=""/>
    <s v="N/A-StillEmployed"/>
    <s v="Active"/>
    <x v="0"/>
    <s v="Kelley Spirea"/>
    <n v="18"/>
    <x v="0"/>
    <x v="1"/>
    <n v="4.7"/>
    <x v="0"/>
    <n v="0"/>
    <d v="2026-02-13T00:00:00"/>
    <n v="0"/>
    <n v="8"/>
    <n v="1"/>
    <n v="39.299999999999997"/>
    <x v="1"/>
    <n v="3.8"/>
    <x v="1"/>
    <n v="4"/>
  </r>
  <r>
    <s v="England, Rex"/>
    <n v="10235"/>
    <n v="1"/>
    <n v="1"/>
    <n v="1"/>
    <n v="1"/>
    <n v="5"/>
    <n v="3"/>
    <n v="0"/>
    <n v="54285"/>
    <n v="0"/>
    <n v="19"/>
    <s v="Production Technician I"/>
    <s v="MA"/>
    <n v="2045"/>
    <d v="1991-08-25T00:00:00"/>
    <x v="0"/>
    <s v="Married"/>
    <s v="US Citizen"/>
    <s v="No"/>
    <s v="White"/>
    <d v="2022-03-31T00:00:00"/>
    <s v=""/>
    <s v="N/A-StillEmployed"/>
    <s v="Active"/>
    <x v="0"/>
    <s v="Kelley Spirea"/>
    <n v="18"/>
    <x v="3"/>
    <x v="1"/>
    <n v="4.2"/>
    <x v="1"/>
    <n v="0"/>
    <d v="2026-01-11T00:00:00"/>
    <n v="0"/>
    <n v="3"/>
    <n v="1"/>
    <n v="35"/>
    <x v="1"/>
    <n v="4.5"/>
    <x v="1"/>
    <n v="4"/>
  </r>
  <r>
    <s v="Erilus, Angela"/>
    <n v="10299"/>
    <n v="0"/>
    <n v="3"/>
    <n v="0"/>
    <n v="1"/>
    <n v="5"/>
    <n v="1"/>
    <n v="0"/>
    <n v="56847"/>
    <n v="0"/>
    <n v="20"/>
    <s v="Production Technician II"/>
    <s v="MA"/>
    <n v="2133"/>
    <d v="2002-08-25T00:00:00"/>
    <x v="1"/>
    <s v="Separated"/>
    <s v="US Citizen"/>
    <s v="No"/>
    <s v="White"/>
    <d v="2022-07-07T00:00:00"/>
    <s v=""/>
    <s v="N/A-StillEmployed"/>
    <s v="Active"/>
    <x v="0"/>
    <s v="Michael Albert"/>
    <n v="22"/>
    <x v="1"/>
    <x v="3"/>
    <n v="3"/>
    <x v="4"/>
    <n v="0"/>
    <d v="2026-02-25T00:00:00"/>
    <n v="2"/>
    <n v="5"/>
    <n v="1"/>
    <n v="24"/>
    <x v="2"/>
    <n v="4.0999999999999996"/>
    <x v="1"/>
    <n v="4"/>
  </r>
  <r>
    <s v="Estremera, Miguel"/>
    <n v="10280"/>
    <n v="0"/>
    <n v="0"/>
    <n v="1"/>
    <n v="4"/>
    <n v="5"/>
    <n v="2"/>
    <n v="0"/>
    <n v="60340"/>
    <n v="1"/>
    <n v="19"/>
    <s v="Production Technician I"/>
    <s v="MA"/>
    <n v="2129"/>
    <d v="1996-09-02T00:00:00"/>
    <x v="0"/>
    <s v="Single"/>
    <s v="US Citizen"/>
    <s v="No"/>
    <s v="White"/>
    <d v="2020-04-02T00:00:00"/>
    <d v="2018-09-27T00:00:00"/>
    <s v="attendance"/>
    <s v="Terminated for Cause"/>
    <x v="0"/>
    <s v="Michael Albert"/>
    <n v="22"/>
    <x v="2"/>
    <x v="2"/>
    <n v="5"/>
    <x v="2"/>
    <n v="0"/>
    <d v="2025-04-12T00:00:00"/>
    <n v="5"/>
    <n v="16"/>
    <n v="0"/>
    <n v="29.8"/>
    <x v="0"/>
    <n v="6.4"/>
    <x v="0"/>
    <n v="5"/>
  </r>
  <r>
    <s v="Evensen, April"/>
    <n v="10296"/>
    <n v="0"/>
    <n v="0"/>
    <n v="0"/>
    <n v="4"/>
    <n v="5"/>
    <n v="2"/>
    <n v="0"/>
    <n v="59124"/>
    <n v="1"/>
    <n v="19"/>
    <s v="Production Technician I"/>
    <s v="MA"/>
    <n v="2458"/>
    <d v="2002-05-06T00:00:00"/>
    <x v="1"/>
    <s v="Single"/>
    <s v="US Citizen"/>
    <s v="No"/>
    <s v="White"/>
    <d v="2022-02-17T00:00:00"/>
    <d v="2026-02-25T00:00:00"/>
    <s v="no-call, no-show"/>
    <s v="Terminated for Cause"/>
    <x v="0"/>
    <s v="Elijiah Gray"/>
    <n v="16"/>
    <x v="2"/>
    <x v="2"/>
    <n v="2.2999999999999998"/>
    <x v="1"/>
    <n v="0"/>
    <d v="2024-01-15T00:00:00"/>
    <n v="5"/>
    <n v="19"/>
    <n v="0"/>
    <n v="24.3"/>
    <x v="2"/>
    <n v="4.5999999999999996"/>
    <x v="1"/>
    <n v="4"/>
  </r>
  <r>
    <s v="Exantus, Susan"/>
    <n v="10290"/>
    <n v="1"/>
    <n v="1"/>
    <n v="0"/>
    <n v="4"/>
    <n v="4"/>
    <n v="2"/>
    <n v="0"/>
    <n v="99280"/>
    <n v="1"/>
    <n v="24"/>
    <s v="Software Engineer"/>
    <s v="MA"/>
    <n v="1749"/>
    <d v="2000-05-15T00:00:00"/>
    <x v="1"/>
    <s v="Married"/>
    <s v="US Citizen"/>
    <s v="No"/>
    <s v="Black or African American"/>
    <d v="2019-05-02T00:00:00"/>
    <d v="2021-06-05T00:00:00"/>
    <s v="attendance"/>
    <s v="Terminated for Cause"/>
    <x v="2"/>
    <s v="Alex Sweetwater"/>
    <n v="10"/>
    <x v="1"/>
    <x v="2"/>
    <n v="2.1"/>
    <x v="0"/>
    <n v="4"/>
    <d v="2019-08-10T00:00:00"/>
    <n v="4"/>
    <n v="19"/>
    <n v="0"/>
    <n v="26.3"/>
    <x v="0"/>
    <n v="7.3"/>
    <x v="0"/>
    <n v="5"/>
  </r>
  <r>
    <s v="Faller, Megan "/>
    <n v="10263"/>
    <n v="1"/>
    <n v="1"/>
    <n v="0"/>
    <n v="1"/>
    <n v="5"/>
    <n v="3"/>
    <n v="0"/>
    <n v="71776"/>
    <n v="0"/>
    <n v="20"/>
    <s v="Production Technician II"/>
    <s v="MA"/>
    <n v="1824"/>
    <d v="1991-09-22T00:00:00"/>
    <x v="1"/>
    <s v="Married"/>
    <s v="US Citizen"/>
    <s v="No"/>
    <s v="Black or African American"/>
    <d v="2022-07-07T00:00:00"/>
    <s v=""/>
    <s v="N/A-StillEmployed"/>
    <s v="Active"/>
    <x v="0"/>
    <s v="Elijiah Gray"/>
    <n v="16"/>
    <x v="0"/>
    <x v="1"/>
    <n v="4.4000000000000004"/>
    <x v="0"/>
    <n v="0"/>
    <d v="2026-02-22T00:00:00"/>
    <n v="0"/>
    <n v="17"/>
    <n v="1"/>
    <n v="34.799999999999997"/>
    <x v="0"/>
    <n v="4.0999999999999996"/>
    <x v="1"/>
    <n v="4"/>
  </r>
  <r>
    <s v="Fancett, Nicole"/>
    <n v="10136"/>
    <n v="0"/>
    <n v="0"/>
    <n v="0"/>
    <n v="1"/>
    <n v="5"/>
    <n v="3"/>
    <n v="0"/>
    <n v="65902"/>
    <n v="0"/>
    <n v="20"/>
    <s v="Production Technician II"/>
    <s v="MA"/>
    <n v="2324"/>
    <d v="2000-09-27T00:00:00"/>
    <x v="1"/>
    <s v="Single"/>
    <s v="US Citizen"/>
    <s v="No"/>
    <s v="Black or African American"/>
    <d v="2022-02-17T00:00:00"/>
    <s v=""/>
    <s v="N/A-StillEmployed"/>
    <s v="Active"/>
    <x v="0"/>
    <s v="Webster Butler"/>
    <m/>
    <x v="0"/>
    <x v="1"/>
    <n v="4"/>
    <x v="2"/>
    <n v="0"/>
    <d v="2026-01-07T00:00:00"/>
    <n v="0"/>
    <n v="7"/>
    <n v="1"/>
    <n v="25.8"/>
    <x v="0"/>
    <n v="4.5999999999999996"/>
    <x v="1"/>
    <n v="4"/>
  </r>
  <r>
    <s v="Ferguson, Susan"/>
    <n v="10189"/>
    <n v="1"/>
    <n v="1"/>
    <n v="0"/>
    <n v="5"/>
    <n v="5"/>
    <n v="3"/>
    <n v="0"/>
    <n v="57748"/>
    <n v="1"/>
    <n v="19"/>
    <s v="Production Technician I"/>
    <s v="MA"/>
    <n v="2176"/>
    <d v="1968-04-14T00:00:00"/>
    <x v="1"/>
    <s v="Married"/>
    <s v="US Citizen"/>
    <s v="No"/>
    <s v="White"/>
    <d v="2019-11-07T00:00:00"/>
    <d v="2024-05-17T00:00:00"/>
    <s v="military"/>
    <s v="Voluntarily Terminated"/>
    <x v="0"/>
    <s v="Webster Butler"/>
    <n v="39"/>
    <x v="2"/>
    <x v="1"/>
    <n v="3.13"/>
    <x v="1"/>
    <n v="0"/>
    <d v="2023-02-04T00:00:00"/>
    <n v="0"/>
    <n v="16"/>
    <n v="0"/>
    <n v="58.4"/>
    <x v="4"/>
    <n v="6.8"/>
    <x v="0"/>
    <n v="5"/>
  </r>
  <r>
    <s v="Fernandes, Nilson  "/>
    <n v="10308"/>
    <n v="1"/>
    <n v="1"/>
    <n v="1"/>
    <n v="1"/>
    <n v="5"/>
    <n v="1"/>
    <n v="0"/>
    <n v="64057"/>
    <n v="0"/>
    <n v="19"/>
    <s v="Production Technician I"/>
    <s v="MA"/>
    <n v="2132"/>
    <d v="2002-10-18T00:00:00"/>
    <x v="0"/>
    <s v="Married"/>
    <s v="US Citizen"/>
    <s v="No"/>
    <s v="White"/>
    <d v="2023-05-11T00:00:00"/>
    <s v=""/>
    <s v="N/A-StillEmployed"/>
    <s v="Active"/>
    <x v="0"/>
    <s v="Amy Dunn"/>
    <n v="11"/>
    <x v="1"/>
    <x v="3"/>
    <n v="1.56"/>
    <x v="0"/>
    <n v="0"/>
    <d v="2026-01-03T00:00:00"/>
    <n v="6"/>
    <n v="15"/>
    <n v="1"/>
    <n v="23.8"/>
    <x v="2"/>
    <n v="3.3"/>
    <x v="1"/>
    <n v="4"/>
  </r>
  <r>
    <s v="Fett, Boba"/>
    <n v="10309"/>
    <n v="0"/>
    <n v="0"/>
    <n v="1"/>
    <n v="1"/>
    <n v="3"/>
    <n v="1"/>
    <n v="0"/>
    <n v="53366"/>
    <n v="0"/>
    <n v="15"/>
    <s v="Network Engineer"/>
    <s v="MA"/>
    <n v="2138"/>
    <d v="2000-06-18T00:00:00"/>
    <x v="0"/>
    <s v="Single"/>
    <s v="US Citizen"/>
    <s v="No"/>
    <s v="White"/>
    <d v="2023-03-30T00:00:00"/>
    <s v=""/>
    <s v="N/A-StillEmployed"/>
    <s v="Active"/>
    <x v="1"/>
    <s v="Peter Monroe"/>
    <n v="7"/>
    <x v="0"/>
    <x v="3"/>
    <n v="1.2"/>
    <x v="1"/>
    <n v="6"/>
    <d v="2026-02-04T00:00:00"/>
    <n v="3"/>
    <n v="2"/>
    <n v="1"/>
    <n v="26.2"/>
    <x v="0"/>
    <n v="3.5"/>
    <x v="1"/>
    <n v="4"/>
  </r>
  <r>
    <s v="Fidelia,  Libby"/>
    <n v="10049"/>
    <n v="1"/>
    <n v="1"/>
    <n v="0"/>
    <n v="1"/>
    <n v="5"/>
    <n v="3"/>
    <n v="0"/>
    <n v="58530"/>
    <n v="0"/>
    <n v="19"/>
    <s v="Production Technician I"/>
    <s v="MA"/>
    <n v="2155"/>
    <d v="1994-03-16T00:00:00"/>
    <x v="1"/>
    <s v="Married"/>
    <s v="US Citizen"/>
    <s v="No"/>
    <s v="White"/>
    <d v="2020-01-09T00:00:00"/>
    <s v=""/>
    <s v="N/A-StillEmployed"/>
    <s v="Active"/>
    <x v="0"/>
    <s v="Brannon Miller"/>
    <n v="12"/>
    <x v="2"/>
    <x v="1"/>
    <n v="5"/>
    <x v="0"/>
    <n v="0"/>
    <d v="2026-01-29T00:00:00"/>
    <n v="0"/>
    <n v="19"/>
    <n v="1"/>
    <n v="32.5"/>
    <x v="0"/>
    <n v="6.7"/>
    <x v="0"/>
    <n v="5"/>
  </r>
  <r>
    <s v="Fitzpatrick, Michael  J"/>
    <n v="10093"/>
    <n v="0"/>
    <n v="0"/>
    <n v="1"/>
    <n v="5"/>
    <n v="5"/>
    <n v="3"/>
    <n v="0"/>
    <n v="72609"/>
    <n v="1"/>
    <n v="20"/>
    <s v="Production Technician II"/>
    <s v="MA"/>
    <n v="2143"/>
    <d v="1994-10-01T00:00:00"/>
    <x v="0"/>
    <s v="Single"/>
    <s v="US Citizen"/>
    <s v="Yes"/>
    <s v="White"/>
    <d v="2019-05-16T00:00:00"/>
    <d v="2021-06-24T00:00:00"/>
    <s v="hours"/>
    <s v="Voluntarily Terminated"/>
    <x v="0"/>
    <s v="Amy Dunn"/>
    <n v="11"/>
    <x v="2"/>
    <x v="1"/>
    <n v="4.76"/>
    <x v="0"/>
    <n v="0"/>
    <d v="2020-04-05T00:00:00"/>
    <n v="0"/>
    <n v="20"/>
    <n v="0"/>
    <n v="31.8"/>
    <x v="0"/>
    <n v="7.3"/>
    <x v="0"/>
    <n v="5"/>
  </r>
  <r>
    <s v="Foreman, Tanya"/>
    <n v="10163"/>
    <n v="1"/>
    <n v="1"/>
    <n v="0"/>
    <n v="5"/>
    <n v="5"/>
    <n v="3"/>
    <n v="0"/>
    <n v="55965"/>
    <n v="1"/>
    <n v="20"/>
    <s v="Production Technician II"/>
    <s v="MA"/>
    <n v="2170"/>
    <d v="1996-11-08T00:00:00"/>
    <x v="1"/>
    <s v="Married"/>
    <s v="US Citizen"/>
    <s v="No"/>
    <s v="White"/>
    <d v="2019-04-04T00:00:00"/>
    <d v="2021-01-09T00:00:00"/>
    <s v="career change"/>
    <s v="Voluntarily Terminated"/>
    <x v="0"/>
    <s v="Ketsia Liebig"/>
    <n v="19"/>
    <x v="2"/>
    <x v="1"/>
    <n v="3.66"/>
    <x v="1"/>
    <n v="0"/>
    <d v="2019-01-07T00:00:00"/>
    <n v="0"/>
    <n v="6"/>
    <n v="0"/>
    <n v="29.8"/>
    <x v="0"/>
    <n v="7.4"/>
    <x v="0"/>
    <n v="5"/>
  </r>
  <r>
    <s v="Forrest, Alex"/>
    <n v="10305"/>
    <n v="1"/>
    <n v="1"/>
    <n v="1"/>
    <n v="1"/>
    <n v="6"/>
    <n v="3"/>
    <n v="0"/>
    <n v="70187"/>
    <n v="1"/>
    <n v="3"/>
    <s v="Area Sales Manager"/>
    <s v="MA"/>
    <n v="2330"/>
    <d v="1988-07-07T00:00:00"/>
    <x v="0"/>
    <s v="Married"/>
    <s v="US Citizen"/>
    <s v="No"/>
    <s v="White"/>
    <d v="2022-09-29T00:00:00"/>
    <d v="2026-08-19T00:00:00"/>
    <s v="Fatal attraction"/>
    <s v="Terminated for Cause"/>
    <x v="4"/>
    <s v="Lynn Daneault"/>
    <n v="21"/>
    <x v="3"/>
    <x v="3"/>
    <n v="2"/>
    <x v="0"/>
    <n v="0"/>
    <d v="2026-01-28T00:00:00"/>
    <n v="4"/>
    <n v="7"/>
    <n v="1"/>
    <n v="38.1"/>
    <x v="1"/>
    <n v="3.8"/>
    <x v="1"/>
    <n v="4"/>
  </r>
  <r>
    <s v="Foss, Jason"/>
    <n v="10015"/>
    <n v="0"/>
    <n v="0"/>
    <n v="1"/>
    <n v="1"/>
    <n v="3"/>
    <n v="4"/>
    <n v="0"/>
    <n v="178000"/>
    <n v="0"/>
    <n v="12"/>
    <s v="IT Director"/>
    <s v="MA"/>
    <n v="1460"/>
    <d v="1993-07-05T00:00:00"/>
    <x v="0"/>
    <s v="Single"/>
    <s v="US Citizen"/>
    <s v="No"/>
    <s v="Black or African American"/>
    <d v="2019-04-15T00:00:00"/>
    <s v=""/>
    <s v="N/A-StillEmployed"/>
    <s v="Active"/>
    <x v="1"/>
    <s v="Jennifer Zamora"/>
    <n v="5"/>
    <x v="1"/>
    <x v="0"/>
    <n v="5"/>
    <x v="0"/>
    <n v="5"/>
    <d v="2026-01-07T00:00:00"/>
    <n v="0"/>
    <n v="15"/>
    <n v="1"/>
    <n v="33.1"/>
    <x v="0"/>
    <n v="7.4"/>
    <x v="0"/>
    <n v="5"/>
  </r>
  <r>
    <s v="Foster-Baker, Amy"/>
    <n v="10080"/>
    <n v="1"/>
    <n v="1"/>
    <n v="0"/>
    <n v="1"/>
    <n v="1"/>
    <n v="3"/>
    <n v="0"/>
    <n v="99351"/>
    <n v="0"/>
    <n v="26"/>
    <s v="Sr. Accountant"/>
    <s v="MA"/>
    <n v="2050"/>
    <d v="1992-04-16T00:00:00"/>
    <x v="1"/>
    <s v="Married"/>
    <s v="US Citizen"/>
    <s v="No"/>
    <s v="White"/>
    <d v="2017-01-05T00:00:00"/>
    <s v=""/>
    <s v="N/A-StillEmployed"/>
    <s v="Active"/>
    <x v="3"/>
    <s v="Board of Directors"/>
    <n v="9"/>
    <x v="8"/>
    <x v="1"/>
    <n v="5"/>
    <x v="1"/>
    <n v="2"/>
    <d v="2026-02-08T00:00:00"/>
    <n v="0"/>
    <n v="3"/>
    <n v="1"/>
    <n v="34.4"/>
    <x v="0"/>
    <n v="9.6999999999999993"/>
    <x v="0"/>
    <n v="5"/>
  </r>
  <r>
    <s v="Fraval, Maruk "/>
    <n v="10258"/>
    <n v="0"/>
    <n v="0"/>
    <n v="1"/>
    <n v="1"/>
    <n v="6"/>
    <n v="3"/>
    <n v="0"/>
    <n v="67251"/>
    <n v="0"/>
    <n v="3"/>
    <s v="Area Sales Manager"/>
    <s v="CT"/>
    <n v="6050"/>
    <d v="1976-08-28T00:00:00"/>
    <x v="0"/>
    <s v="Single"/>
    <s v="US Citizen"/>
    <s v="No"/>
    <s v="Black or African American"/>
    <d v="2019-09-06T00:00:00"/>
    <s v=""/>
    <s v="N/A-StillEmployed"/>
    <s v="Active"/>
    <x v="4"/>
    <s v="Lynn Daneault"/>
    <n v="21"/>
    <x v="6"/>
    <x v="1"/>
    <n v="4.3"/>
    <x v="1"/>
    <n v="0"/>
    <d v="2026-01-27T00:00:00"/>
    <n v="2"/>
    <n v="7"/>
    <n v="1"/>
    <n v="50"/>
    <x v="3"/>
    <n v="6.8"/>
    <x v="0"/>
    <n v="5"/>
  </r>
  <r>
    <s v="Galia, Lisa"/>
    <n v="10273"/>
    <n v="0"/>
    <n v="0"/>
    <n v="0"/>
    <n v="1"/>
    <n v="3"/>
    <n v="3"/>
    <n v="0"/>
    <n v="65707"/>
    <n v="0"/>
    <n v="14"/>
    <s v="IT Support"/>
    <s v="CT"/>
    <n v="6040"/>
    <d v="1981-07-06T00:00:00"/>
    <x v="1"/>
    <s v="Single"/>
    <s v="US Citizen"/>
    <s v="No"/>
    <s v="White"/>
    <d v="2018-05-01T00:00:00"/>
    <s v=""/>
    <s v="N/A-StillEmployed"/>
    <s v="Active"/>
    <x v="1"/>
    <s v="Eric Dougall"/>
    <n v="6"/>
    <x v="0"/>
    <x v="1"/>
    <n v="4.7"/>
    <x v="2"/>
    <n v="5"/>
    <d v="2026-02-01T00:00:00"/>
    <n v="0"/>
    <n v="1"/>
    <n v="1"/>
    <n v="45.1"/>
    <x v="3"/>
    <n v="8.3000000000000007"/>
    <x v="0"/>
    <n v="5"/>
  </r>
  <r>
    <s v="Garcia, Raul"/>
    <n v="10111"/>
    <n v="0"/>
    <n v="0"/>
    <n v="1"/>
    <n v="1"/>
    <n v="5"/>
    <n v="3"/>
    <n v="0"/>
    <n v="52249"/>
    <n v="0"/>
    <n v="19"/>
    <s v="Production Technician I"/>
    <s v="MA"/>
    <n v="1905"/>
    <d v="1998-09-15T00:00:00"/>
    <x v="0"/>
    <s v="Single"/>
    <s v="US Citizen"/>
    <s v="Yes"/>
    <s v="White"/>
    <d v="2023-03-30T00:00:00"/>
    <s v=""/>
    <s v="N/A-StillEmployed"/>
    <s v="Active"/>
    <x v="0"/>
    <s v="David Stanley"/>
    <n v="14"/>
    <x v="3"/>
    <x v="1"/>
    <n v="4.5"/>
    <x v="1"/>
    <n v="0"/>
    <d v="2026-02-18T00:00:00"/>
    <n v="0"/>
    <n v="5"/>
    <n v="1"/>
    <n v="27.8"/>
    <x v="0"/>
    <n v="3.5"/>
    <x v="1"/>
    <n v="4"/>
  </r>
  <r>
    <s v="Gaul, Barbara"/>
    <n v="10257"/>
    <n v="0"/>
    <n v="0"/>
    <n v="0"/>
    <n v="1"/>
    <n v="5"/>
    <n v="3"/>
    <n v="0"/>
    <n v="53171"/>
    <n v="0"/>
    <n v="19"/>
    <s v="Production Technician I"/>
    <s v="MA"/>
    <n v="2121"/>
    <d v="1996-12-02T00:00:00"/>
    <x v="1"/>
    <s v="Single"/>
    <s v="US Citizen"/>
    <s v="Yes"/>
    <s v="Black or African American"/>
    <d v="2019-05-16T00:00:00"/>
    <s v=""/>
    <s v="N/A-StillEmployed"/>
    <s v="Active"/>
    <x v="0"/>
    <s v="Kelley Spirea"/>
    <n v="18"/>
    <x v="0"/>
    <x v="1"/>
    <n v="4.2"/>
    <x v="2"/>
    <n v="0"/>
    <d v="2026-02-26T00:00:00"/>
    <n v="0"/>
    <n v="12"/>
    <n v="1"/>
    <n v="29.8"/>
    <x v="0"/>
    <n v="7.3"/>
    <x v="0"/>
    <n v="5"/>
  </r>
  <r>
    <s v="Gentry, Mildred"/>
    <n v="10159"/>
    <n v="1"/>
    <n v="1"/>
    <n v="0"/>
    <n v="1"/>
    <n v="5"/>
    <n v="3"/>
    <n v="0"/>
    <n v="51337"/>
    <n v="0"/>
    <n v="19"/>
    <s v="Production Technician I"/>
    <s v="MA"/>
    <n v="2145"/>
    <d v="2003-10-01T00:00:00"/>
    <x v="1"/>
    <s v="Married"/>
    <s v="US Citizen"/>
    <s v="No"/>
    <s v="Black or African American"/>
    <d v="2023-03-30T00:00:00"/>
    <s v=""/>
    <s v="N/A-StillEmployed"/>
    <s v="Active"/>
    <x v="0"/>
    <s v="Michael Albert"/>
    <n v="22"/>
    <x v="0"/>
    <x v="1"/>
    <n v="3.73"/>
    <x v="1"/>
    <n v="0"/>
    <d v="2026-01-16T00:00:00"/>
    <n v="0"/>
    <n v="19"/>
    <n v="1"/>
    <n v="22.8"/>
    <x v="2"/>
    <n v="3.5"/>
    <x v="1"/>
    <n v="4"/>
  </r>
  <r>
    <s v="Gerke, Melisa"/>
    <n v="10122"/>
    <n v="0"/>
    <n v="2"/>
    <n v="0"/>
    <n v="5"/>
    <n v="5"/>
    <n v="3"/>
    <n v="1"/>
    <n v="51505"/>
    <n v="1"/>
    <n v="19"/>
    <s v="Production Technician I"/>
    <s v="MA"/>
    <n v="2330"/>
    <d v="1983-05-15T00:00:00"/>
    <x v="1"/>
    <s v="Divorced"/>
    <s v="US Citizen"/>
    <s v="No"/>
    <s v="Black or African American"/>
    <d v="2019-11-07T00:00:00"/>
    <d v="2024-11-15T00:00:00"/>
    <s v="hours"/>
    <s v="Voluntarily Terminated"/>
    <x v="0"/>
    <s v="Elijiah Gray"/>
    <n v="16"/>
    <x v="4"/>
    <x v="1"/>
    <n v="4.24"/>
    <x v="2"/>
    <n v="0"/>
    <d v="2023-04-29T00:00:00"/>
    <n v="0"/>
    <n v="2"/>
    <n v="0"/>
    <n v="43.3"/>
    <x v="1"/>
    <n v="6.8"/>
    <x v="0"/>
    <n v="5"/>
  </r>
  <r>
    <s v="Gill, Whitney  "/>
    <n v="10142"/>
    <n v="0"/>
    <n v="4"/>
    <n v="0"/>
    <n v="4"/>
    <n v="6"/>
    <n v="3"/>
    <n v="0"/>
    <n v="59370"/>
    <n v="1"/>
    <n v="3"/>
    <s v="Area Sales Manager"/>
    <s v="OH"/>
    <n v="43050"/>
    <d v="1984-07-10T00:00:00"/>
    <x v="1"/>
    <s v="Widowed"/>
    <s v="US Citizen"/>
    <s v="No"/>
    <s v="Black or African American"/>
    <d v="2022-07-07T00:00:00"/>
    <d v="2023-09-05T00:00:00"/>
    <s v="attendance"/>
    <s v="Terminated for Cause"/>
    <x v="4"/>
    <s v="John Smith"/>
    <n v="17"/>
    <x v="6"/>
    <x v="1"/>
    <n v="3.97"/>
    <x v="2"/>
    <n v="0"/>
    <d v="2021-01-15T00:00:00"/>
    <n v="0"/>
    <n v="7"/>
    <n v="0"/>
    <n v="42.1"/>
    <x v="1"/>
    <n v="4.0999999999999996"/>
    <x v="1"/>
    <n v="4"/>
  </r>
  <r>
    <s v="Gilles, Alex"/>
    <n v="10283"/>
    <n v="1"/>
    <n v="1"/>
    <n v="1"/>
    <n v="5"/>
    <n v="5"/>
    <n v="2"/>
    <n v="1"/>
    <n v="54933"/>
    <n v="1"/>
    <n v="19"/>
    <s v="Production Technician I"/>
    <s v="MA"/>
    <n v="2062"/>
    <d v="1987-08-09T00:00:00"/>
    <x v="0"/>
    <s v="Married"/>
    <s v="US Citizen"/>
    <s v="No"/>
    <s v="Black or African American"/>
    <d v="2020-04-02T00:00:00"/>
    <d v="2023-06-25T00:00:00"/>
    <s v="military"/>
    <s v="Voluntarily Terminated"/>
    <x v="0"/>
    <s v="Webster Butler"/>
    <n v="39"/>
    <x v="4"/>
    <x v="2"/>
    <n v="3.97"/>
    <x v="2"/>
    <n v="0"/>
    <d v="2022-01-20T00:00:00"/>
    <n v="3"/>
    <n v="15"/>
    <n v="0"/>
    <n v="39"/>
    <x v="1"/>
    <n v="6.4"/>
    <x v="0"/>
    <n v="5"/>
  </r>
  <r>
    <s v="Girifalco, Evelyn"/>
    <n v="10018"/>
    <n v="0"/>
    <n v="0"/>
    <n v="0"/>
    <n v="1"/>
    <n v="5"/>
    <n v="4"/>
    <n v="0"/>
    <n v="57815"/>
    <n v="0"/>
    <n v="19"/>
    <s v="Production Technician I"/>
    <s v="MA"/>
    <n v="2451"/>
    <d v="1993-05-08T00:00:00"/>
    <x v="1"/>
    <s v="Single"/>
    <s v="US Citizen"/>
    <s v="Yes"/>
    <s v="Two or more races"/>
    <d v="2022-09-29T00:00:00"/>
    <s v=""/>
    <s v="N/A-StillEmployed"/>
    <s v="Active"/>
    <x v="0"/>
    <s v="Amy Dunn"/>
    <n v="11"/>
    <x v="1"/>
    <x v="0"/>
    <n v="3.9"/>
    <x v="2"/>
    <n v="0"/>
    <d v="2026-02-07T00:00:00"/>
    <n v="0"/>
    <n v="3"/>
    <n v="1"/>
    <n v="33.299999999999997"/>
    <x v="0"/>
    <n v="3.8"/>
    <x v="1"/>
    <n v="4"/>
  </r>
  <r>
    <s v="Givens, Myriam"/>
    <n v="10255"/>
    <n v="0"/>
    <n v="0"/>
    <n v="0"/>
    <n v="1"/>
    <n v="6"/>
    <n v="3"/>
    <n v="0"/>
    <n v="61555"/>
    <n v="0"/>
    <n v="3"/>
    <s v="Area Sales Manager"/>
    <s v="IN"/>
    <n v="46204"/>
    <d v="2002-09-22T00:00:00"/>
    <x v="1"/>
    <s v="Single"/>
    <s v="US Citizen"/>
    <s v="No"/>
    <s v="White"/>
    <d v="2023-02-16T00:00:00"/>
    <s v=""/>
    <s v="N/A-StillEmployed"/>
    <s v="Active"/>
    <x v="4"/>
    <s v="Lynn Daneault"/>
    <n v="21"/>
    <x v="1"/>
    <x v="1"/>
    <n v="4.5"/>
    <x v="0"/>
    <n v="0"/>
    <d v="2026-01-25T00:00:00"/>
    <n v="0"/>
    <n v="20"/>
    <n v="1"/>
    <n v="23.8"/>
    <x v="2"/>
    <n v="3.6"/>
    <x v="1"/>
    <n v="4"/>
  </r>
  <r>
    <s v="Goble, Taisha"/>
    <n v="10246"/>
    <n v="0"/>
    <n v="0"/>
    <n v="0"/>
    <n v="4"/>
    <n v="3"/>
    <n v="3"/>
    <n v="0"/>
    <n v="114800"/>
    <n v="1"/>
    <n v="8"/>
    <s v="Database Administrator"/>
    <s v="MA"/>
    <n v="2127"/>
    <d v="1984-10-23T00:00:00"/>
    <x v="1"/>
    <s v="Single"/>
    <s v="US Citizen"/>
    <s v="No"/>
    <s v="White"/>
    <d v="2023-02-16T00:00:00"/>
    <d v="2023-03-15T00:00:00"/>
    <s v="no-call, no-show"/>
    <s v="Terminated for Cause"/>
    <x v="1"/>
    <s v="Simon Roup"/>
    <n v="4"/>
    <x v="1"/>
    <x v="1"/>
    <n v="4.5999999999999996"/>
    <x v="2"/>
    <n v="4"/>
    <d v="2022-01-20T00:00:00"/>
    <n v="0"/>
    <n v="10"/>
    <n v="0"/>
    <n v="41.8"/>
    <x v="1"/>
    <n v="3.6"/>
    <x v="1"/>
    <n v="4"/>
  </r>
  <r>
    <s v="Goeth, Amon"/>
    <n v="10228"/>
    <n v="1"/>
    <n v="1"/>
    <n v="1"/>
    <n v="1"/>
    <n v="3"/>
    <n v="3"/>
    <n v="0"/>
    <n v="74679"/>
    <n v="0"/>
    <n v="14"/>
    <s v="IT Support"/>
    <s v="MA"/>
    <n v="2135"/>
    <d v="2002-11-24T00:00:00"/>
    <x v="0"/>
    <s v="Married"/>
    <s v="US Citizen"/>
    <s v="Yes"/>
    <s v="White"/>
    <d v="2023-03-30T00:00:00"/>
    <s v=""/>
    <s v="N/A-StillEmployed"/>
    <s v="Active"/>
    <x v="1"/>
    <s v="Peter Monroe"/>
    <n v="7"/>
    <x v="0"/>
    <x v="1"/>
    <n v="4.3"/>
    <x v="0"/>
    <n v="7"/>
    <d v="2026-01-10T00:00:00"/>
    <n v="0"/>
    <n v="20"/>
    <n v="1"/>
    <n v="23.8"/>
    <x v="2"/>
    <n v="3.5"/>
    <x v="1"/>
    <n v="4"/>
  </r>
  <r>
    <s v="Gold, Shenice  "/>
    <n v="10243"/>
    <n v="0"/>
    <n v="0"/>
    <n v="0"/>
    <n v="1"/>
    <n v="5"/>
    <n v="3"/>
    <n v="0"/>
    <n v="53018"/>
    <n v="0"/>
    <n v="19"/>
    <s v="Production Technician I"/>
    <s v="MA"/>
    <n v="2451"/>
    <d v="2005-06-18T00:00:00"/>
    <x v="1"/>
    <s v="Single"/>
    <s v="US Citizen"/>
    <s v="Yes"/>
    <s v="White"/>
    <d v="2021-11-11T00:00:00"/>
    <s v=""/>
    <s v="N/A-StillEmployed"/>
    <s v="Active"/>
    <x v="0"/>
    <s v="Ketsia Liebig"/>
    <n v="19"/>
    <x v="1"/>
    <x v="1"/>
    <n v="4.3"/>
    <x v="0"/>
    <n v="0"/>
    <d v="2026-02-18T00:00:00"/>
    <n v="0"/>
    <n v="7"/>
    <n v="1"/>
    <n v="21.2"/>
    <x v="2"/>
    <n v="4.8"/>
    <x v="1"/>
    <n v="4"/>
  </r>
  <r>
    <s v="Gonzalez, Cayo"/>
    <n v="10031"/>
    <n v="0"/>
    <n v="2"/>
    <n v="1"/>
    <n v="1"/>
    <n v="5"/>
    <n v="4"/>
    <n v="1"/>
    <n v="59892"/>
    <n v="0"/>
    <n v="19"/>
    <s v="Production Technician I"/>
    <s v="MA"/>
    <n v="2108"/>
    <d v="1982-09-29T00:00:00"/>
    <x v="0"/>
    <s v="Divorced"/>
    <s v="US Citizen"/>
    <s v="No"/>
    <s v="Black or African American"/>
    <d v="2019-07-11T00:00:00"/>
    <s v=""/>
    <s v="N/A-StillEmployed"/>
    <s v="Active"/>
    <x v="0"/>
    <s v="Brannon Miller"/>
    <n v="12"/>
    <x v="4"/>
    <x v="0"/>
    <n v="4.5"/>
    <x v="2"/>
    <n v="0"/>
    <d v="2026-02-18T00:00:00"/>
    <n v="0"/>
    <n v="1"/>
    <n v="1"/>
    <n v="43.8"/>
    <x v="1"/>
    <n v="7.1"/>
    <x v="0"/>
    <n v="5"/>
  </r>
  <r>
    <s v="Gonzalez, Juan"/>
    <n v="10300"/>
    <n v="1"/>
    <n v="1"/>
    <n v="1"/>
    <n v="5"/>
    <n v="5"/>
    <n v="1"/>
    <n v="1"/>
    <n v="68898"/>
    <n v="1"/>
    <n v="20"/>
    <s v="Production Technician II"/>
    <s v="MA"/>
    <n v="2128"/>
    <d v="1977-10-12T00:00:00"/>
    <x v="0"/>
    <s v="Married"/>
    <s v="US Citizen"/>
    <s v="No"/>
    <s v="Black or African American"/>
    <d v="2018-04-26T00:00:00"/>
    <d v="2019-05-30T00:00:00"/>
    <s v="career change"/>
    <s v="Voluntarily Terminated"/>
    <x v="0"/>
    <s v="Brannon Miller"/>
    <n v="12"/>
    <x v="4"/>
    <x v="3"/>
    <n v="3"/>
    <x v="1"/>
    <n v="0"/>
    <d v="2018-03-06T00:00:00"/>
    <n v="3"/>
    <n v="10"/>
    <n v="0"/>
    <n v="48.8"/>
    <x v="3"/>
    <n v="8.4"/>
    <x v="0"/>
    <n v="5"/>
  </r>
  <r>
    <s v="Gonzalez, Maria"/>
    <n v="10101"/>
    <n v="0"/>
    <n v="3"/>
    <n v="0"/>
    <n v="1"/>
    <n v="3"/>
    <n v="3"/>
    <n v="0"/>
    <n v="61242"/>
    <n v="0"/>
    <n v="14"/>
    <s v="IT Support"/>
    <s v="MA"/>
    <n v="2472"/>
    <d v="1994-04-16T00:00:00"/>
    <x v="1"/>
    <s v="Separated"/>
    <s v="US Citizen"/>
    <s v="Yes"/>
    <s v="White"/>
    <d v="2023-01-05T00:00:00"/>
    <s v=""/>
    <s v="N/A-StillEmployed"/>
    <s v="Active"/>
    <x v="1"/>
    <s v="Peter Monroe"/>
    <n v="7"/>
    <x v="3"/>
    <x v="1"/>
    <n v="4.6100000000000003"/>
    <x v="2"/>
    <n v="5"/>
    <d v="2026-01-28T00:00:00"/>
    <n v="0"/>
    <n v="11"/>
    <n v="1"/>
    <n v="32.4"/>
    <x v="0"/>
    <n v="3.7"/>
    <x v="1"/>
    <n v="4"/>
  </r>
  <r>
    <s v="Good, Susan"/>
    <n v="10237"/>
    <n v="1"/>
    <n v="1"/>
    <n v="0"/>
    <n v="3"/>
    <n v="5"/>
    <n v="3"/>
    <n v="0"/>
    <n v="66825"/>
    <n v="0"/>
    <n v="20"/>
    <s v="Production Technician II"/>
    <s v="MA"/>
    <n v="1886"/>
    <d v="1999-05-25T00:00:00"/>
    <x v="1"/>
    <s v="Married"/>
    <s v="US Citizen"/>
    <s v="No"/>
    <s v="White"/>
    <d v="2022-05-12T00:00:00"/>
    <s v=""/>
    <s v="N/A-StillEmployed"/>
    <s v="Active"/>
    <x v="0"/>
    <s v="David Stanley"/>
    <n v="14"/>
    <x v="0"/>
    <x v="1"/>
    <n v="4.5999999999999996"/>
    <x v="1"/>
    <n v="0"/>
    <d v="2026-02-07T00:00:00"/>
    <n v="0"/>
    <n v="20"/>
    <n v="1"/>
    <n v="27.3"/>
    <x v="0"/>
    <n v="4.3"/>
    <x v="1"/>
    <n v="4"/>
  </r>
  <r>
    <s v="Gordon, David"/>
    <n v="10051"/>
    <n v="1"/>
    <n v="1"/>
    <n v="1"/>
    <n v="1"/>
    <n v="5"/>
    <n v="3"/>
    <n v="0"/>
    <n v="48285"/>
    <n v="0"/>
    <n v="19"/>
    <s v="Production Technician I"/>
    <s v="MA"/>
    <n v="2169"/>
    <d v="1992-05-21T00:00:00"/>
    <x v="0"/>
    <s v="Married"/>
    <s v="US Citizen"/>
    <s v="No"/>
    <s v="White"/>
    <d v="2020-07-02T00:00:00"/>
    <s v=""/>
    <s v="N/A-StillEmployed"/>
    <s v="Active"/>
    <x v="0"/>
    <s v="David Stanley"/>
    <n v="14"/>
    <x v="0"/>
    <x v="1"/>
    <n v="5"/>
    <x v="1"/>
    <n v="0"/>
    <d v="2026-01-14T00:00:00"/>
    <n v="0"/>
    <n v="2"/>
    <n v="1"/>
    <n v="34.299999999999997"/>
    <x v="0"/>
    <n v="6.1"/>
    <x v="0"/>
    <n v="5"/>
  </r>
  <r>
    <s v="Gosciminski, Phylicia  "/>
    <n v="10218"/>
    <n v="0"/>
    <n v="3"/>
    <n v="0"/>
    <n v="3"/>
    <n v="5"/>
    <n v="3"/>
    <n v="0"/>
    <n v="66149"/>
    <n v="0"/>
    <n v="20"/>
    <s v="Production Technician II"/>
    <s v="MA"/>
    <n v="1824"/>
    <d v="1996-12-08T00:00:00"/>
    <x v="1"/>
    <s v="Separated"/>
    <s v="US Citizen"/>
    <s v="No"/>
    <s v="American Indian or Alaska Native"/>
    <d v="2021-09-30T00:00:00"/>
    <s v=""/>
    <s v="N/A-StillEmployed"/>
    <s v="Active"/>
    <x v="0"/>
    <s v="Kissy Sullivan"/>
    <n v="20"/>
    <x v="2"/>
    <x v="1"/>
    <n v="4.4000000000000004"/>
    <x v="0"/>
    <n v="0"/>
    <d v="2026-02-21T00:00:00"/>
    <n v="0"/>
    <n v="1"/>
    <n v="1"/>
    <n v="29.8"/>
    <x v="0"/>
    <n v="4.8"/>
    <x v="1"/>
    <n v="4"/>
  </r>
  <r>
    <s v="Goyal, Roxana"/>
    <n v="10256"/>
    <n v="1"/>
    <n v="1"/>
    <n v="0"/>
    <n v="3"/>
    <n v="5"/>
    <n v="3"/>
    <n v="0"/>
    <n v="49256"/>
    <n v="0"/>
    <n v="19"/>
    <s v="Production Technician I"/>
    <s v="MA"/>
    <n v="1864"/>
    <d v="1987-10-09T00:00:00"/>
    <x v="1"/>
    <s v="Married"/>
    <s v="US Citizen"/>
    <s v="No"/>
    <s v="Asian"/>
    <d v="2021-08-19T00:00:00"/>
    <s v=""/>
    <s v="N/A-StillEmployed"/>
    <s v="Active"/>
    <x v="0"/>
    <s v="Kissy Sullivan"/>
    <n v="20"/>
    <x v="0"/>
    <x v="1"/>
    <n v="4.0999999999999996"/>
    <x v="0"/>
    <n v="0"/>
    <d v="2026-02-15T00:00:00"/>
    <n v="0"/>
    <n v="3"/>
    <n v="1"/>
    <n v="38.799999999999997"/>
    <x v="1"/>
    <n v="5"/>
    <x v="1"/>
    <n v="4"/>
  </r>
  <r>
    <s v="Gray, Elijiah  "/>
    <n v="10098"/>
    <n v="0"/>
    <n v="2"/>
    <n v="1"/>
    <n v="1"/>
    <n v="5"/>
    <n v="3"/>
    <n v="0"/>
    <n v="62957"/>
    <n v="0"/>
    <n v="18"/>
    <s v="Production Manager"/>
    <s v="MA"/>
    <n v="1752"/>
    <d v="1994-07-11T00:00:00"/>
    <x v="0"/>
    <s v="Divorced"/>
    <s v="US Citizen"/>
    <s v="No"/>
    <s v="White"/>
    <d v="2023-06-02T00:00:00"/>
    <s v=""/>
    <s v="N/A-StillEmployed"/>
    <s v="Active"/>
    <x v="0"/>
    <s v="Janet King"/>
    <n v="2"/>
    <x v="3"/>
    <x v="1"/>
    <n v="4.63"/>
    <x v="1"/>
    <n v="0"/>
    <d v="2026-01-04T00:00:00"/>
    <n v="0"/>
    <n v="2"/>
    <n v="1"/>
    <n v="32.1"/>
    <x v="0"/>
    <n v="3.2"/>
    <x v="1"/>
    <n v="4"/>
  </r>
  <r>
    <s v="Gross, Paula"/>
    <n v="10059"/>
    <n v="0"/>
    <n v="2"/>
    <n v="0"/>
    <n v="5"/>
    <n v="5"/>
    <n v="3"/>
    <n v="0"/>
    <n v="63813"/>
    <n v="1"/>
    <n v="19"/>
    <s v="Production Technician I"/>
    <s v="MA"/>
    <n v="2176"/>
    <d v="1996-05-21T00:00:00"/>
    <x v="1"/>
    <s v="Divorced"/>
    <s v="US Citizen"/>
    <s v="No"/>
    <s v="White"/>
    <d v="2019-02-21T00:00:00"/>
    <d v="2022-01-11T00:00:00"/>
    <s v="more money"/>
    <s v="Voluntarily Terminated"/>
    <x v="0"/>
    <s v="Kelley Spirea"/>
    <n v="18"/>
    <x v="6"/>
    <x v="1"/>
    <n v="5"/>
    <x v="0"/>
    <n v="0"/>
    <d v="2020-06-03T00:00:00"/>
    <n v="0"/>
    <n v="17"/>
    <n v="0"/>
    <n v="30.3"/>
    <x v="0"/>
    <n v="7.6"/>
    <x v="0"/>
    <n v="5"/>
  </r>
  <r>
    <s v="Gruber, Hans"/>
    <n v="10234"/>
    <n v="1"/>
    <n v="1"/>
    <n v="1"/>
    <n v="1"/>
    <n v="3"/>
    <n v="3"/>
    <n v="0"/>
    <n v="99020"/>
    <n v="0"/>
    <n v="4"/>
    <s v="BI Developer"/>
    <s v="MA"/>
    <n v="2134"/>
    <d v="2002-06-30T00:00:00"/>
    <x v="0"/>
    <s v="Married"/>
    <s v="US Citizen"/>
    <s v="No"/>
    <s v="Black or African American"/>
    <d v="2025-04-20T00:00:00"/>
    <s v=""/>
    <s v="N/A-StillEmployed"/>
    <s v="Active"/>
    <x v="1"/>
    <s v="Brian Champaigne"/>
    <n v="13"/>
    <x v="1"/>
    <x v="1"/>
    <n v="4.2"/>
    <x v="0"/>
    <n v="5"/>
    <d v="2026-01-28T00:00:00"/>
    <n v="0"/>
    <n v="8"/>
    <n v="1"/>
    <n v="24.2"/>
    <x v="2"/>
    <n v="1.4"/>
    <x v="3"/>
    <n v="2"/>
  </r>
  <r>
    <s v="Guilianno, Mike"/>
    <n v="10109"/>
    <n v="0"/>
    <n v="0"/>
    <n v="1"/>
    <n v="5"/>
    <n v="6"/>
    <n v="3"/>
    <n v="0"/>
    <n v="71707"/>
    <n v="1"/>
    <n v="3"/>
    <s v="Area Sales Manager"/>
    <s v="TN"/>
    <n v="37129"/>
    <d v="1982-02-09T00:00:00"/>
    <x v="0"/>
    <s v="Single"/>
    <s v="US Citizen"/>
    <s v="No"/>
    <s v="Two or more races"/>
    <d v="2020-03-07T00:00:00"/>
    <d v="2022-10-31T00:00:00"/>
    <s v="relocation out of area"/>
    <s v="Voluntarily Terminated"/>
    <x v="4"/>
    <s v="John Smith"/>
    <n v="17"/>
    <x v="0"/>
    <x v="1"/>
    <n v="4.5"/>
    <x v="0"/>
    <n v="0"/>
    <d v="2020-02-01T00:00:00"/>
    <n v="0"/>
    <n v="20"/>
    <n v="0"/>
    <n v="44.6"/>
    <x v="1"/>
    <n v="6.5"/>
    <x v="0"/>
    <n v="5"/>
  </r>
  <r>
    <s v="Handschiegl, Joanne"/>
    <n v="10125"/>
    <n v="1"/>
    <n v="1"/>
    <n v="0"/>
    <n v="1"/>
    <n v="5"/>
    <n v="3"/>
    <n v="0"/>
    <n v="54828"/>
    <n v="0"/>
    <n v="19"/>
    <s v="Production Technician I"/>
    <s v="MA"/>
    <n v="2127"/>
    <d v="1990-03-23T00:00:00"/>
    <x v="1"/>
    <s v="Married"/>
    <s v="US Citizen"/>
    <s v="No"/>
    <s v="White"/>
    <d v="2019-11-28T00:00:00"/>
    <s v=""/>
    <s v="N/A-StillEmployed"/>
    <s v="Active"/>
    <x v="0"/>
    <s v="Michael Albert"/>
    <n v="22"/>
    <x v="2"/>
    <x v="1"/>
    <n v="4.2"/>
    <x v="2"/>
    <n v="0"/>
    <d v="2026-02-22T00:00:00"/>
    <n v="0"/>
    <n v="13"/>
    <n v="1"/>
    <n v="36.5"/>
    <x v="1"/>
    <n v="6.8"/>
    <x v="0"/>
    <n v="5"/>
  </r>
  <r>
    <s v="Hankard, Earnest"/>
    <n v="10074"/>
    <n v="0"/>
    <n v="0"/>
    <n v="1"/>
    <n v="1"/>
    <n v="5"/>
    <n v="3"/>
    <n v="0"/>
    <n v="64246"/>
    <n v="0"/>
    <n v="20"/>
    <s v="Production Technician II"/>
    <s v="MA"/>
    <n v="2155"/>
    <d v="2001-08-10T00:00:00"/>
    <x v="0"/>
    <s v="Single"/>
    <s v="US Citizen"/>
    <s v="Yes"/>
    <s v="White"/>
    <d v="2021-11-11T00:00:00"/>
    <s v=""/>
    <s v="N/A-StillEmployed"/>
    <s v="Active"/>
    <x v="0"/>
    <s v="Kelley Spirea"/>
    <n v="18"/>
    <x v="0"/>
    <x v="1"/>
    <n v="5"/>
    <x v="1"/>
    <n v="0"/>
    <d v="2026-01-08T00:00:00"/>
    <n v="0"/>
    <n v="20"/>
    <n v="1"/>
    <n v="25"/>
    <x v="0"/>
    <n v="4.8"/>
    <x v="1"/>
    <n v="4"/>
  </r>
  <r>
    <s v="Harrington, Christie "/>
    <n v="10097"/>
    <n v="0"/>
    <n v="0"/>
    <n v="0"/>
    <n v="5"/>
    <n v="5"/>
    <n v="3"/>
    <n v="0"/>
    <n v="52177"/>
    <n v="1"/>
    <n v="19"/>
    <s v="Production Technician I"/>
    <s v="MA"/>
    <n v="2324"/>
    <d v="1965-08-18T00:00:00"/>
    <x v="1"/>
    <s v="Single"/>
    <s v="US Citizen"/>
    <s v="No"/>
    <s v="White"/>
    <d v="2020-01-09T00:00:00"/>
    <d v="2023-12-15T00:00:00"/>
    <s v="retiring"/>
    <s v="Voluntarily Terminated"/>
    <x v="0"/>
    <s v="Webster Butler"/>
    <n v="39"/>
    <x v="6"/>
    <x v="1"/>
    <n v="4.6399999999999997"/>
    <x v="2"/>
    <n v="0"/>
    <d v="2022-05-02T00:00:00"/>
    <n v="0"/>
    <n v="8"/>
    <n v="0"/>
    <n v="61"/>
    <x v="4"/>
    <n v="6.7"/>
    <x v="0"/>
    <n v="5"/>
  </r>
  <r>
    <s v="Harrison, Kara"/>
    <n v="10007"/>
    <n v="1"/>
    <n v="1"/>
    <n v="0"/>
    <n v="1"/>
    <n v="5"/>
    <n v="4"/>
    <n v="0"/>
    <n v="62065"/>
    <n v="0"/>
    <n v="19"/>
    <s v="Production Technician I"/>
    <s v="MA"/>
    <n v="1886"/>
    <d v="1987-05-02T00:00:00"/>
    <x v="1"/>
    <s v="Married"/>
    <s v="US Citizen"/>
    <s v="No"/>
    <s v="White"/>
    <d v="2022-05-12T00:00:00"/>
    <s v=""/>
    <s v="N/A-StillEmployed"/>
    <s v="Active"/>
    <x v="0"/>
    <s v="Amy Dunn"/>
    <n v="11"/>
    <x v="6"/>
    <x v="0"/>
    <n v="4.76"/>
    <x v="2"/>
    <n v="0"/>
    <d v="2026-02-15T00:00:00"/>
    <n v="0"/>
    <n v="5"/>
    <n v="1"/>
    <n v="39.299999999999997"/>
    <x v="1"/>
    <n v="4.3"/>
    <x v="1"/>
    <n v="4"/>
  </r>
  <r>
    <s v="Heitzman, Anthony"/>
    <n v="10129"/>
    <n v="0"/>
    <n v="0"/>
    <n v="1"/>
    <n v="1"/>
    <n v="5"/>
    <n v="3"/>
    <n v="0"/>
    <n v="46998"/>
    <n v="0"/>
    <n v="19"/>
    <s v="Production Technician I"/>
    <s v="MA"/>
    <n v="2149"/>
    <d v="1997-01-04T00:00:00"/>
    <x v="0"/>
    <s v="Single"/>
    <s v="US Citizen"/>
    <s v="No"/>
    <s v="White"/>
    <d v="2020-08-13T00:00:00"/>
    <s v=""/>
    <s v="N/A-StillEmployed"/>
    <s v="Active"/>
    <x v="0"/>
    <s v="Ketsia Liebig"/>
    <n v="19"/>
    <x v="2"/>
    <x v="1"/>
    <n v="4.17"/>
    <x v="2"/>
    <n v="0"/>
    <d v="2026-02-11T00:00:00"/>
    <n v="0"/>
    <n v="1"/>
    <n v="1"/>
    <n v="29.7"/>
    <x v="0"/>
    <n v="6"/>
    <x v="0"/>
    <n v="5"/>
  </r>
  <r>
    <s v="Hendrickson, Trina"/>
    <n v="10075"/>
    <n v="0"/>
    <n v="0"/>
    <n v="0"/>
    <n v="5"/>
    <n v="5"/>
    <n v="3"/>
    <n v="0"/>
    <n v="68099"/>
    <n v="1"/>
    <n v="20"/>
    <s v="Production Technician II"/>
    <s v="MA"/>
    <n v="2021"/>
    <d v="1985-08-27T00:00:00"/>
    <x v="1"/>
    <s v="Single"/>
    <s v="US Citizen"/>
    <s v="No"/>
    <s v="White"/>
    <d v="2019-01-10T00:00:00"/>
    <d v="2021-06-18T00:00:00"/>
    <s v="hours"/>
    <s v="Voluntarily Terminated"/>
    <x v="0"/>
    <s v="Kelley Spirea"/>
    <n v="18"/>
    <x v="6"/>
    <x v="1"/>
    <n v="5"/>
    <x v="1"/>
    <n v="0"/>
    <d v="2020-01-30T00:00:00"/>
    <n v="0"/>
    <n v="15"/>
    <n v="0"/>
    <n v="41"/>
    <x v="1"/>
    <n v="7.7"/>
    <x v="0"/>
    <n v="5"/>
  </r>
  <r>
    <s v="Hitchcock, Alfred"/>
    <n v="10167"/>
    <n v="1"/>
    <n v="1"/>
    <n v="1"/>
    <n v="1"/>
    <n v="6"/>
    <n v="3"/>
    <n v="0"/>
    <n v="70545"/>
    <n v="0"/>
    <n v="3"/>
    <s v="Area Sales Manager"/>
    <s v="NH"/>
    <n v="3062"/>
    <d v="2001-09-14T00:00:00"/>
    <x v="0"/>
    <s v="Married"/>
    <s v="US Citizen"/>
    <s v="No"/>
    <s v="American Indian or Alaska Native"/>
    <d v="2022-08-18T00:00:00"/>
    <s v=""/>
    <s v="N/A-StillEmployed"/>
    <s v="Active"/>
    <x v="4"/>
    <s v="John Smith"/>
    <n v="17"/>
    <x v="1"/>
    <x v="1"/>
    <n v="3.6"/>
    <x v="0"/>
    <n v="0"/>
    <d v="2026-01-30T00:00:00"/>
    <n v="0"/>
    <n v="9"/>
    <n v="1"/>
    <n v="24.8"/>
    <x v="2"/>
    <n v="4"/>
    <x v="1"/>
    <n v="4"/>
  </r>
  <r>
    <s v="Homberger, Adrienne  J"/>
    <n v="10195"/>
    <n v="1"/>
    <n v="1"/>
    <n v="0"/>
    <n v="5"/>
    <n v="5"/>
    <n v="3"/>
    <n v="0"/>
    <n v="63478"/>
    <n v="1"/>
    <n v="20"/>
    <s v="Production Technician II"/>
    <s v="MA"/>
    <n v="2445"/>
    <d v="1997-02-16T00:00:00"/>
    <x v="1"/>
    <s v="Married"/>
    <s v="Non-Citizen"/>
    <s v="No"/>
    <s v="White"/>
    <d v="2019-08-15T00:00:00"/>
    <d v="2020-04-07T00:00:00"/>
    <s v="relocation out of area"/>
    <s v="Voluntarily Terminated"/>
    <x v="0"/>
    <s v="Michael Albert"/>
    <n v="30"/>
    <x v="1"/>
    <x v="1"/>
    <n v="3.03"/>
    <x v="0"/>
    <n v="0"/>
    <d v="2019-03-05T00:00:00"/>
    <n v="0"/>
    <n v="16"/>
    <n v="0"/>
    <n v="29.6"/>
    <x v="0"/>
    <n v="7"/>
    <x v="0"/>
    <n v="5"/>
  </r>
  <r>
    <s v="Horton, Jayne"/>
    <n v="10112"/>
    <n v="0"/>
    <n v="0"/>
    <n v="0"/>
    <n v="1"/>
    <n v="3"/>
    <n v="3"/>
    <n v="0"/>
    <n v="97999"/>
    <n v="0"/>
    <n v="8"/>
    <s v="Database Administrator"/>
    <s v="MA"/>
    <n v="2493"/>
    <d v="1997-02-21T00:00:00"/>
    <x v="1"/>
    <s v="Single"/>
    <s v="US Citizen"/>
    <s v="No"/>
    <s v="White"/>
    <d v="2023-03-30T00:00:00"/>
    <s v=""/>
    <s v="N/A-StillEmployed"/>
    <s v="Active"/>
    <x v="1"/>
    <s v="Simon Roup"/>
    <n v="4"/>
    <x v="1"/>
    <x v="1"/>
    <n v="4.4800000000000004"/>
    <x v="0"/>
    <n v="6"/>
    <d v="2026-01-03T00:00:00"/>
    <n v="0"/>
    <n v="4"/>
    <n v="1"/>
    <n v="29.6"/>
    <x v="0"/>
    <n v="3.5"/>
    <x v="1"/>
    <n v="4"/>
  </r>
  <r>
    <s v="Houlihan, Debra"/>
    <n v="10272"/>
    <n v="1"/>
    <n v="1"/>
    <n v="0"/>
    <n v="1"/>
    <n v="6"/>
    <n v="3"/>
    <n v="0"/>
    <n v="180000"/>
    <n v="0"/>
    <n v="11"/>
    <s v="Director of Sales"/>
    <s v="RI"/>
    <n v="2908"/>
    <d v="1979-03-17T00:00:00"/>
    <x v="1"/>
    <s v="Married"/>
    <s v="US Citizen"/>
    <s v="No"/>
    <s v="White"/>
    <d v="2022-05-05T00:00:00"/>
    <s v=""/>
    <s v="N/A-StillEmployed"/>
    <s v="Active"/>
    <x v="4"/>
    <s v="Janet King"/>
    <n v="2"/>
    <x v="0"/>
    <x v="1"/>
    <n v="4.5"/>
    <x v="2"/>
    <n v="0"/>
    <d v="2026-01-21T00:00:00"/>
    <n v="0"/>
    <n v="19"/>
    <n v="1"/>
    <n v="47.5"/>
    <x v="3"/>
    <n v="4.3"/>
    <x v="1"/>
    <n v="4"/>
  </r>
  <r>
    <s v="Howard, Estelle"/>
    <n v="10182"/>
    <n v="1"/>
    <n v="1"/>
    <n v="0"/>
    <n v="1"/>
    <n v="1"/>
    <n v="3"/>
    <n v="0"/>
    <n v="49920"/>
    <n v="1"/>
    <n v="2"/>
    <s v="Administrative Assistant"/>
    <s v="MA"/>
    <n v="2170"/>
    <d v="1998-09-16T00:00:00"/>
    <x v="1"/>
    <s v="Married"/>
    <s v="US Citizen"/>
    <s v="No"/>
    <s v="Black or African American"/>
    <d v="2023-02-16T00:00:00"/>
    <d v="2023-04-15T00:00:00"/>
    <s v="no-call, no-show"/>
    <s v="Terminated for Cause"/>
    <x v="3"/>
    <s v="Brandon R. LeBlanc"/>
    <n v="1"/>
    <x v="1"/>
    <x v="1"/>
    <n v="3.24"/>
    <x v="1"/>
    <n v="4"/>
    <d v="2022-04-15T00:00:00"/>
    <n v="0"/>
    <n v="6"/>
    <n v="0"/>
    <n v="27.8"/>
    <x v="0"/>
    <n v="3.6"/>
    <x v="1"/>
    <n v="4"/>
  </r>
  <r>
    <s v="Hudson, Jane"/>
    <n v="10248"/>
    <n v="0"/>
    <n v="0"/>
    <n v="0"/>
    <n v="1"/>
    <n v="5"/>
    <n v="3"/>
    <n v="0"/>
    <n v="55425"/>
    <n v="0"/>
    <n v="19"/>
    <s v="Production Technician I"/>
    <s v="MA"/>
    <n v="2176"/>
    <d v="1999-06-10T00:00:00"/>
    <x v="1"/>
    <s v="Single"/>
    <s v="US Citizen"/>
    <s v="No"/>
    <s v="White"/>
    <d v="2020-02-20T00:00:00"/>
    <s v=""/>
    <s v="N/A-StillEmployed"/>
    <s v="Active"/>
    <x v="0"/>
    <s v="Ketsia Liebig"/>
    <n v="19"/>
    <x v="0"/>
    <x v="1"/>
    <n v="4.8"/>
    <x v="2"/>
    <n v="0"/>
    <d v="2026-01-07T00:00:00"/>
    <n v="0"/>
    <n v="4"/>
    <n v="1"/>
    <n v="27.2"/>
    <x v="0"/>
    <n v="6.6"/>
    <x v="0"/>
    <n v="5"/>
  </r>
  <r>
    <s v="Hunts, Julissa"/>
    <n v="10201"/>
    <n v="0"/>
    <n v="0"/>
    <n v="0"/>
    <n v="2"/>
    <n v="5"/>
    <n v="3"/>
    <n v="0"/>
    <n v="69340"/>
    <n v="0"/>
    <n v="20"/>
    <s v="Production Technician II"/>
    <s v="MA"/>
    <n v="2021"/>
    <d v="1997-03-11T00:00:00"/>
    <x v="1"/>
    <s v="Single"/>
    <s v="US Citizen"/>
    <s v="No"/>
    <s v="White"/>
    <d v="2024-06-06T00:00:00"/>
    <s v=""/>
    <s v="N/A-StillEmployed"/>
    <s v="Active"/>
    <x v="0"/>
    <s v="Elijiah Gray"/>
    <n v="16"/>
    <x v="0"/>
    <x v="1"/>
    <n v="3"/>
    <x v="0"/>
    <n v="0"/>
    <d v="2026-01-18T00:00:00"/>
    <n v="0"/>
    <n v="4"/>
    <n v="1"/>
    <n v="29.5"/>
    <x v="0"/>
    <n v="2.2000000000000002"/>
    <x v="2"/>
    <n v="3"/>
  </r>
  <r>
    <s v="Hutter, Rosalie"/>
    <n v="10214"/>
    <n v="0"/>
    <n v="3"/>
    <n v="0"/>
    <n v="2"/>
    <n v="5"/>
    <n v="3"/>
    <n v="0"/>
    <n v="64995"/>
    <n v="0"/>
    <n v="20"/>
    <s v="Production Technician II"/>
    <s v="MA"/>
    <n v="2351"/>
    <d v="2005-05-07T00:00:00"/>
    <x v="1"/>
    <s v="Separated"/>
    <s v="US Citizen"/>
    <s v="No"/>
    <s v="White"/>
    <d v="2023-06-05T00:00:00"/>
    <s v=""/>
    <s v="N/A-StillEmployed"/>
    <s v="Active"/>
    <x v="0"/>
    <s v="Webster Butler"/>
    <m/>
    <x v="1"/>
    <x v="1"/>
    <n v="4.5"/>
    <x v="1"/>
    <n v="0"/>
    <d v="2026-02-14T00:00:00"/>
    <n v="0"/>
    <n v="6"/>
    <n v="1"/>
    <n v="21.3"/>
    <x v="2"/>
    <n v="3.2"/>
    <x v="1"/>
    <n v="4"/>
  </r>
  <r>
    <s v="Huynh, Ming"/>
    <n v="10160"/>
    <n v="0"/>
    <n v="2"/>
    <n v="0"/>
    <n v="5"/>
    <n v="5"/>
    <n v="3"/>
    <n v="0"/>
    <n v="68182"/>
    <n v="1"/>
    <n v="20"/>
    <s v="Production Technician II"/>
    <s v="MA"/>
    <n v="1742"/>
    <d v="1989-09-22T00:00:00"/>
    <x v="1"/>
    <s v="Divorced"/>
    <s v="US Citizen"/>
    <s v="No"/>
    <s v="White"/>
    <d v="2019-02-21T00:00:00"/>
    <d v="2021-04-01T00:00:00"/>
    <s v="unhappy"/>
    <s v="Voluntarily Terminated"/>
    <x v="0"/>
    <s v="Amy Dunn"/>
    <n v="11"/>
    <x v="2"/>
    <x v="1"/>
    <n v="3.72"/>
    <x v="1"/>
    <n v="0"/>
    <d v="2020-02-01T00:00:00"/>
    <n v="0"/>
    <n v="18"/>
    <n v="0"/>
    <n v="36.799999999999997"/>
    <x v="1"/>
    <n v="7.6"/>
    <x v="0"/>
    <n v="5"/>
  </r>
  <r>
    <s v="Immediato, Walter"/>
    <n v="10289"/>
    <n v="1"/>
    <n v="1"/>
    <n v="1"/>
    <n v="5"/>
    <n v="5"/>
    <n v="2"/>
    <n v="0"/>
    <n v="83082"/>
    <n v="1"/>
    <n v="18"/>
    <s v="Production Manager"/>
    <s v="MA"/>
    <n v="2128"/>
    <d v="1989-11-15T00:00:00"/>
    <x v="0"/>
    <s v="Married"/>
    <s v="US Citizen"/>
    <s v="No"/>
    <s v="Asian"/>
    <d v="2019-02-21T00:00:00"/>
    <d v="2020-09-24T00:00:00"/>
    <s v="unhappy"/>
    <s v="Voluntarily Terminated"/>
    <x v="0"/>
    <s v="Janet King"/>
    <n v="2"/>
    <x v="1"/>
    <x v="2"/>
    <n v="2.34"/>
    <x v="3"/>
    <n v="0"/>
    <d v="2019-04-12T00:00:00"/>
    <n v="3"/>
    <n v="4"/>
    <n v="0"/>
    <n v="36.799999999999997"/>
    <x v="1"/>
    <n v="7.6"/>
    <x v="0"/>
    <n v="5"/>
  </r>
  <r>
    <s v="Ivey, Rose "/>
    <n v="10139"/>
    <n v="0"/>
    <n v="0"/>
    <n v="0"/>
    <n v="1"/>
    <n v="5"/>
    <n v="3"/>
    <n v="0"/>
    <n v="51908"/>
    <n v="0"/>
    <n v="19"/>
    <s v="Production Technician I"/>
    <s v="MA"/>
    <n v="1775"/>
    <d v="2004-01-28T00:00:00"/>
    <x v="1"/>
    <s v="Single"/>
    <s v="US Citizen"/>
    <s v="No"/>
    <s v="White"/>
    <d v="2021-08-19T00:00:00"/>
    <s v=""/>
    <s v="N/A-StillEmployed"/>
    <s v="Active"/>
    <x v="0"/>
    <s v="Brannon Miller"/>
    <n v="12"/>
    <x v="1"/>
    <x v="1"/>
    <n v="3.99"/>
    <x v="1"/>
    <n v="0"/>
    <d v="2026-01-14T00:00:00"/>
    <n v="0"/>
    <n v="14"/>
    <n v="1"/>
    <n v="22.7"/>
    <x v="2"/>
    <n v="5"/>
    <x v="1"/>
    <n v="4"/>
  </r>
  <r>
    <s v="Jackson, Maryellen"/>
    <n v="10227"/>
    <n v="0"/>
    <n v="0"/>
    <n v="0"/>
    <n v="1"/>
    <n v="5"/>
    <n v="3"/>
    <n v="0"/>
    <n v="61242"/>
    <n v="0"/>
    <n v="19"/>
    <s v="Production Technician I"/>
    <s v="MA"/>
    <n v="2081"/>
    <d v="1985-09-11T00:00:00"/>
    <x v="1"/>
    <s v="Single"/>
    <s v="US Citizen"/>
    <s v="No"/>
    <s v="Black or African American"/>
    <d v="2020-11-05T00:00:00"/>
    <s v=""/>
    <s v="N/A-StillEmployed"/>
    <s v="Active"/>
    <x v="0"/>
    <s v="David Stanley"/>
    <n v="14"/>
    <x v="0"/>
    <x v="1"/>
    <n v="4.0999999999999996"/>
    <x v="1"/>
    <n v="0"/>
    <d v="2026-01-17T00:00:00"/>
    <n v="0"/>
    <n v="7"/>
    <n v="1"/>
    <n v="40.799999999999997"/>
    <x v="1"/>
    <n v="5.8"/>
    <x v="0"/>
    <n v="5"/>
  </r>
  <r>
    <s v="Jacobi, Hannah  "/>
    <n v="10236"/>
    <n v="0"/>
    <n v="2"/>
    <n v="0"/>
    <n v="1"/>
    <n v="5"/>
    <n v="3"/>
    <n v="0"/>
    <n v="45069"/>
    <n v="0"/>
    <n v="19"/>
    <s v="Production Technician I"/>
    <s v="MA"/>
    <n v="1778"/>
    <d v="1979-03-22T00:00:00"/>
    <x v="1"/>
    <s v="Divorced"/>
    <s v="US Citizen"/>
    <s v="No"/>
    <s v="White"/>
    <d v="2021-09-30T00:00:00"/>
    <s v=""/>
    <s v="N/A-StillEmployed"/>
    <s v="Active"/>
    <x v="0"/>
    <s v="Kissy Sullivan"/>
    <n v="20"/>
    <x v="3"/>
    <x v="1"/>
    <n v="4.3"/>
    <x v="0"/>
    <n v="0"/>
    <d v="2026-02-22T00:00:00"/>
    <n v="0"/>
    <n v="7"/>
    <n v="1"/>
    <n v="47.5"/>
    <x v="3"/>
    <n v="4.8"/>
    <x v="1"/>
    <n v="4"/>
  </r>
  <r>
    <s v="Jeannite, Tayana"/>
    <n v="10009"/>
    <n v="0"/>
    <n v="2"/>
    <n v="0"/>
    <n v="1"/>
    <n v="5"/>
    <n v="4"/>
    <n v="0"/>
    <n v="60724"/>
    <n v="0"/>
    <n v="20"/>
    <s v="Production Technician II"/>
    <s v="MA"/>
    <n v="1821"/>
    <d v="1999-11-06T00:00:00"/>
    <x v="1"/>
    <s v="Divorced"/>
    <s v="US Citizen"/>
    <s v="No"/>
    <s v="American Indian or Alaska Native"/>
    <d v="2019-07-05T00:00:00"/>
    <s v=""/>
    <s v="N/A-StillEmployed"/>
    <s v="Active"/>
    <x v="0"/>
    <s v="Ketsia Liebig"/>
    <n v="19"/>
    <x v="0"/>
    <x v="0"/>
    <n v="4.5999999999999996"/>
    <x v="2"/>
    <n v="0"/>
    <d v="2026-02-25T00:00:00"/>
    <n v="0"/>
    <n v="11"/>
    <n v="1"/>
    <n v="26.8"/>
    <x v="0"/>
    <n v="7.1"/>
    <x v="0"/>
    <n v="5"/>
  </r>
  <r>
    <s v="Jhaveri, Sneha  "/>
    <n v="10060"/>
    <n v="0"/>
    <n v="3"/>
    <n v="0"/>
    <n v="1"/>
    <n v="5"/>
    <n v="3"/>
    <n v="0"/>
    <n v="60436"/>
    <n v="0"/>
    <n v="19"/>
    <s v="Production Technician I"/>
    <s v="MA"/>
    <n v="2109"/>
    <d v="1977-04-13T00:00:00"/>
    <x v="1"/>
    <s v="Separated"/>
    <s v="US Citizen"/>
    <s v="No"/>
    <s v="White"/>
    <d v="2022-01-06T00:00:00"/>
    <s v=""/>
    <s v="N/A-StillEmployed"/>
    <s v="Active"/>
    <x v="0"/>
    <s v="Kelley Spirea"/>
    <n v="18"/>
    <x v="0"/>
    <x v="1"/>
    <n v="5"/>
    <x v="0"/>
    <n v="0"/>
    <d v="2026-01-21T00:00:00"/>
    <n v="0"/>
    <n v="9"/>
    <n v="1"/>
    <n v="49.4"/>
    <x v="3"/>
    <n v="4.7"/>
    <x v="1"/>
    <n v="4"/>
  </r>
  <r>
    <s v="Johnson, George"/>
    <n v="10034"/>
    <n v="1"/>
    <n v="1"/>
    <n v="1"/>
    <n v="5"/>
    <n v="5"/>
    <n v="4"/>
    <n v="0"/>
    <n v="46837"/>
    <n v="1"/>
    <n v="19"/>
    <s v="Production Technician I"/>
    <s v="MA"/>
    <n v="2445"/>
    <d v="1972-08-19T00:00:00"/>
    <x v="0"/>
    <s v="Married"/>
    <s v="US Citizen"/>
    <s v="No"/>
    <s v="White"/>
    <d v="2019-11-07T00:00:00"/>
    <d v="2026-04-29T00:00:00"/>
    <s v="more money"/>
    <s v="Voluntarily Terminated"/>
    <x v="0"/>
    <s v="Michael Albert"/>
    <n v="22"/>
    <x v="6"/>
    <x v="0"/>
    <n v="4.7"/>
    <x v="2"/>
    <n v="0"/>
    <d v="2025-02-14T00:00:00"/>
    <n v="0"/>
    <n v="9"/>
    <n v="0"/>
    <n v="54"/>
    <x v="3"/>
    <n v="6.8"/>
    <x v="0"/>
    <n v="5"/>
  </r>
  <r>
    <s v="Johnson, Noelle "/>
    <n v="10156"/>
    <n v="1"/>
    <n v="1"/>
    <n v="0"/>
    <n v="3"/>
    <n v="3"/>
    <n v="3"/>
    <n v="0"/>
    <n v="105700"/>
    <n v="0"/>
    <n v="8"/>
    <s v="Database Administrator"/>
    <s v="MA"/>
    <n v="2301"/>
    <d v="1999-11-07T00:00:00"/>
    <x v="1"/>
    <s v="Married"/>
    <s v="US Citizen"/>
    <s v="No"/>
    <s v="Asian"/>
    <d v="2023-01-05T00:00:00"/>
    <s v=""/>
    <s v="N/A-StillEmployed"/>
    <s v="Active"/>
    <x v="1"/>
    <s v="Simon Roup"/>
    <n v="4"/>
    <x v="1"/>
    <x v="1"/>
    <n v="3.75"/>
    <x v="1"/>
    <n v="5"/>
    <d v="2026-02-11T00:00:00"/>
    <n v="0"/>
    <n v="2"/>
    <n v="1"/>
    <n v="26.8"/>
    <x v="0"/>
    <n v="3.7"/>
    <x v="1"/>
    <n v="4"/>
  </r>
  <r>
    <s v="Johnston, Yen"/>
    <n v="10036"/>
    <n v="0"/>
    <n v="0"/>
    <n v="0"/>
    <n v="1"/>
    <n v="5"/>
    <n v="4"/>
    <n v="0"/>
    <n v="63322"/>
    <n v="0"/>
    <n v="20"/>
    <s v="Production Technician II"/>
    <s v="MA"/>
    <n v="2128"/>
    <d v="1982-09-08T00:00:00"/>
    <x v="1"/>
    <s v="Single"/>
    <s v="US Citizen"/>
    <s v="No"/>
    <s v="White"/>
    <d v="2022-07-07T00:00:00"/>
    <s v=""/>
    <s v="N/A-StillEmployed"/>
    <s v="Active"/>
    <x v="0"/>
    <s v="Brannon Miller"/>
    <n v="12"/>
    <x v="0"/>
    <x v="0"/>
    <n v="4.3"/>
    <x v="1"/>
    <n v="0"/>
    <d v="2026-01-11T00:00:00"/>
    <n v="0"/>
    <n v="1"/>
    <n v="1"/>
    <n v="43.8"/>
    <x v="1"/>
    <n v="4.0999999999999996"/>
    <x v="1"/>
    <n v="4"/>
  </r>
  <r>
    <s v="Jung, Judy  "/>
    <n v="10138"/>
    <n v="1"/>
    <n v="1"/>
    <n v="0"/>
    <n v="5"/>
    <n v="5"/>
    <n v="3"/>
    <n v="0"/>
    <n v="61154"/>
    <n v="1"/>
    <n v="19"/>
    <s v="Production Technician I"/>
    <s v="MA"/>
    <n v="2446"/>
    <d v="1999-04-17T00:00:00"/>
    <x v="1"/>
    <s v="Married"/>
    <s v="US Citizen"/>
    <s v="No"/>
    <s v="Black or African American"/>
    <d v="2019-01-10T00:00:00"/>
    <d v="2024-04-01T00:00:00"/>
    <s v="unhappy"/>
    <s v="Voluntarily Terminated"/>
    <x v="0"/>
    <s v="Elijiah Gray"/>
    <n v="16"/>
    <x v="6"/>
    <x v="1"/>
    <n v="4"/>
    <x v="2"/>
    <n v="0"/>
    <d v="2023-02-03T00:00:00"/>
    <n v="0"/>
    <n v="4"/>
    <n v="0"/>
    <n v="27.4"/>
    <x v="0"/>
    <n v="7.7"/>
    <x v="0"/>
    <n v="5"/>
  </r>
  <r>
    <s v="Kampew, Donysha"/>
    <n v="10244"/>
    <n v="0"/>
    <n v="0"/>
    <n v="0"/>
    <n v="5"/>
    <n v="6"/>
    <n v="3"/>
    <n v="0"/>
    <n v="68999"/>
    <n v="1"/>
    <n v="21"/>
    <s v="Sales Manager"/>
    <s v="PA"/>
    <n v="19444"/>
    <d v="2002-11-11T00:00:00"/>
    <x v="1"/>
    <s v="Single"/>
    <s v="US Citizen"/>
    <s v="No"/>
    <s v="White"/>
    <d v="2019-11-07T00:00:00"/>
    <d v="2022-04-24T00:00:00"/>
    <s v="maternity leave - did not return"/>
    <s v="Voluntarily Terminated"/>
    <x v="4"/>
    <s v="Debra Houlihan"/>
    <n v="15"/>
    <x v="2"/>
    <x v="1"/>
    <n v="4.5"/>
    <x v="0"/>
    <n v="0"/>
    <d v="2020-03-30T00:00:00"/>
    <n v="0"/>
    <n v="2"/>
    <n v="0"/>
    <n v="23.8"/>
    <x v="2"/>
    <n v="6.8"/>
    <x v="0"/>
    <n v="5"/>
  </r>
  <r>
    <s v="Keatts, Kramer "/>
    <n v="10192"/>
    <n v="0"/>
    <n v="0"/>
    <n v="1"/>
    <n v="1"/>
    <n v="5"/>
    <n v="3"/>
    <n v="0"/>
    <n v="50482"/>
    <n v="0"/>
    <n v="19"/>
    <s v="Production Technician I"/>
    <s v="MA"/>
    <n v="1887"/>
    <d v="1989-01-19T00:00:00"/>
    <x v="0"/>
    <s v="Single"/>
    <s v="US Citizen"/>
    <s v="No"/>
    <s v="White"/>
    <d v="2021-09-30T00:00:00"/>
    <s v=""/>
    <s v="N/A-StillEmployed"/>
    <s v="Active"/>
    <x v="0"/>
    <s v="Michael Albert"/>
    <n v="22"/>
    <x v="1"/>
    <x v="1"/>
    <n v="3.07"/>
    <x v="2"/>
    <n v="0"/>
    <d v="2026-01-23T00:00:00"/>
    <n v="0"/>
    <n v="10"/>
    <n v="1"/>
    <n v="37.700000000000003"/>
    <x v="1"/>
    <n v="4.8"/>
    <x v="1"/>
    <n v="4"/>
  </r>
  <r>
    <s v="Khemmich, Bartholemew"/>
    <n v="10231"/>
    <n v="0"/>
    <n v="0"/>
    <n v="1"/>
    <n v="1"/>
    <n v="6"/>
    <n v="3"/>
    <n v="0"/>
    <n v="65310"/>
    <n v="0"/>
    <n v="3"/>
    <s v="Area Sales Manager"/>
    <s v="CO"/>
    <n v="80820"/>
    <d v="1992-11-27T00:00:00"/>
    <x v="0"/>
    <s v="Single"/>
    <s v="US Citizen"/>
    <s v="No"/>
    <s v="White"/>
    <d v="2021-08-19T00:00:00"/>
    <s v=""/>
    <s v="N/A-StillEmployed"/>
    <s v="Active"/>
    <x v="4"/>
    <s v="Lynn Daneault"/>
    <n v="21"/>
    <x v="1"/>
    <x v="1"/>
    <n v="4.3"/>
    <x v="0"/>
    <n v="0"/>
    <d v="2026-01-22T00:00:00"/>
    <n v="0"/>
    <n v="13"/>
    <n v="1"/>
    <n v="33.799999999999997"/>
    <x v="0"/>
    <n v="5"/>
    <x v="1"/>
    <n v="4"/>
  </r>
  <r>
    <s v="King, Janet"/>
    <n v="10089"/>
    <n v="1"/>
    <n v="1"/>
    <n v="0"/>
    <n v="1"/>
    <n v="2"/>
    <n v="3"/>
    <n v="0"/>
    <n v="250000"/>
    <n v="0"/>
    <n v="16"/>
    <s v="President &amp; CEO"/>
    <s v="MA"/>
    <n v="1902"/>
    <d v="1967-09-21T00:00:00"/>
    <x v="1"/>
    <s v="Married"/>
    <s v="US Citizen"/>
    <s v="Yes"/>
    <s v="White"/>
    <d v="2020-07-02T00:00:00"/>
    <s v=""/>
    <s v="N/A-StillEmployed"/>
    <s v="Active"/>
    <x v="5"/>
    <s v="Board of Directors"/>
    <n v="9"/>
    <x v="1"/>
    <x v="1"/>
    <n v="4.83"/>
    <x v="1"/>
    <n v="0"/>
    <d v="2026-01-17T00:00:00"/>
    <n v="0"/>
    <n v="10"/>
    <n v="1"/>
    <n v="58.8"/>
    <x v="4"/>
    <n v="6.1"/>
    <x v="0"/>
    <n v="5"/>
  </r>
  <r>
    <s v="Kinsella, Kathleen  "/>
    <n v="10166"/>
    <n v="1"/>
    <n v="1"/>
    <n v="0"/>
    <n v="5"/>
    <n v="5"/>
    <n v="3"/>
    <n v="0"/>
    <n v="54005"/>
    <n v="1"/>
    <n v="19"/>
    <s v="Production Technician I"/>
    <s v="MA"/>
    <n v="2170"/>
    <d v="1986-12-08T00:00:00"/>
    <x v="1"/>
    <s v="Married"/>
    <s v="US Citizen"/>
    <s v="No"/>
    <s v="White"/>
    <d v="2019-09-26T00:00:00"/>
    <d v="2023-06-04T00:00:00"/>
    <s v="more money"/>
    <s v="Voluntarily Terminated"/>
    <x v="0"/>
    <s v="Webster Butler"/>
    <n v="39"/>
    <x v="2"/>
    <x v="1"/>
    <n v="3.6"/>
    <x v="0"/>
    <n v="0"/>
    <d v="2022-03-01T00:00:00"/>
    <n v="0"/>
    <n v="16"/>
    <n v="0"/>
    <n v="39.799999999999997"/>
    <x v="1"/>
    <n v="6.8"/>
    <x v="0"/>
    <n v="5"/>
  </r>
  <r>
    <s v="Kirill, Alexandra  "/>
    <n v="10170"/>
    <n v="1"/>
    <n v="1"/>
    <n v="0"/>
    <n v="5"/>
    <n v="5"/>
    <n v="3"/>
    <n v="0"/>
    <n v="45433"/>
    <n v="1"/>
    <n v="19"/>
    <s v="Production Technician I"/>
    <s v="MA"/>
    <n v="2127"/>
    <d v="1983-10-08T00:00:00"/>
    <x v="1"/>
    <s v="Married"/>
    <s v="US Citizen"/>
    <s v="No"/>
    <s v="White"/>
    <d v="2019-09-26T00:00:00"/>
    <d v="2022-01-09T00:00:00"/>
    <s v="more money"/>
    <s v="Voluntarily Terminated"/>
    <x v="0"/>
    <s v="Amy Dunn"/>
    <n v="11"/>
    <x v="2"/>
    <x v="1"/>
    <n v="3.49"/>
    <x v="2"/>
    <n v="0"/>
    <d v="2020-01-30T00:00:00"/>
    <n v="0"/>
    <n v="6"/>
    <n v="0"/>
    <n v="42.8"/>
    <x v="1"/>
    <n v="6.8"/>
    <x v="0"/>
    <n v="5"/>
  </r>
  <r>
    <s v="Knapp, Bradley  J"/>
    <n v="10208"/>
    <n v="0"/>
    <n v="0"/>
    <n v="1"/>
    <n v="1"/>
    <n v="5"/>
    <n v="3"/>
    <n v="0"/>
    <n v="46654"/>
    <n v="0"/>
    <n v="19"/>
    <s v="Production Technician I"/>
    <s v="MA"/>
    <n v="1721"/>
    <d v="1990-11-10T00:00:00"/>
    <x v="0"/>
    <s v="Single"/>
    <s v="US Citizen"/>
    <s v="No"/>
    <s v="Black or African American"/>
    <d v="2022-02-17T00:00:00"/>
    <s v=""/>
    <s v="N/A-StillEmployed"/>
    <s v="Active"/>
    <x v="0"/>
    <s v="Ketsia Liebig"/>
    <n v="19"/>
    <x v="0"/>
    <x v="1"/>
    <n v="3.1"/>
    <x v="1"/>
    <n v="0"/>
    <d v="2026-02-06T00:00:00"/>
    <n v="0"/>
    <n v="3"/>
    <n v="1"/>
    <n v="35.799999999999997"/>
    <x v="1"/>
    <n v="4.5999999999999996"/>
    <x v="1"/>
    <n v="4"/>
  </r>
  <r>
    <s v="Kretschmer, John"/>
    <n v="10176"/>
    <n v="1"/>
    <n v="1"/>
    <n v="1"/>
    <n v="1"/>
    <n v="5"/>
    <n v="3"/>
    <n v="0"/>
    <n v="63973"/>
    <n v="0"/>
    <n v="19"/>
    <s v="Production Technician I"/>
    <s v="MA"/>
    <n v="1801"/>
    <d v="1993-02-02T00:00:00"/>
    <x v="0"/>
    <s v="Married"/>
    <s v="US Citizen"/>
    <s v="No"/>
    <s v="Asian"/>
    <d v="2019-01-10T00:00:00"/>
    <s v=""/>
    <s v="N/A-StillEmployed"/>
    <s v="Active"/>
    <x v="0"/>
    <s v="Brannon Miller"/>
    <n v="12"/>
    <x v="1"/>
    <x v="1"/>
    <n v="3.38"/>
    <x v="1"/>
    <n v="0"/>
    <d v="2026-01-21T00:00:00"/>
    <n v="0"/>
    <n v="17"/>
    <n v="1"/>
    <n v="33.6"/>
    <x v="0"/>
    <n v="7.7"/>
    <x v="0"/>
    <n v="5"/>
  </r>
  <r>
    <s v="Kreuger, Freddy"/>
    <n v="10165"/>
    <n v="0"/>
    <n v="0"/>
    <n v="1"/>
    <n v="1"/>
    <n v="6"/>
    <n v="3"/>
    <n v="1"/>
    <n v="71339"/>
    <n v="0"/>
    <n v="3"/>
    <s v="Area Sales Manager"/>
    <s v="NY"/>
    <n v="10171"/>
    <d v="1982-02-24T00:00:00"/>
    <x v="0"/>
    <s v="Single"/>
    <s v="US Citizen"/>
    <s v="Yes"/>
    <s v="Black or African American"/>
    <d v="2019-03-07T00:00:00"/>
    <s v=""/>
    <s v="N/A-StillEmployed"/>
    <s v="Active"/>
    <x v="4"/>
    <s v="John Smith"/>
    <n v="17"/>
    <x v="4"/>
    <x v="1"/>
    <n v="3.65"/>
    <x v="0"/>
    <n v="0"/>
    <d v="2026-01-17T00:00:00"/>
    <n v="0"/>
    <n v="20"/>
    <n v="1"/>
    <n v="44.6"/>
    <x v="1"/>
    <n v="7.5"/>
    <x v="0"/>
    <n v="5"/>
  </r>
  <r>
    <s v="Lajiri,  Jyoti"/>
    <n v="10113"/>
    <n v="1"/>
    <n v="1"/>
    <n v="1"/>
    <n v="3"/>
    <n v="3"/>
    <n v="3"/>
    <n v="0"/>
    <n v="93206"/>
    <n v="0"/>
    <n v="28"/>
    <s v="Sr. Network Engineer"/>
    <s v="MA"/>
    <n v="2169"/>
    <d v="1999-04-23T00:00:00"/>
    <x v="0"/>
    <s v="Married"/>
    <s v="US Citizen"/>
    <s v="No"/>
    <s v="White"/>
    <d v="2022-11-10T00:00:00"/>
    <s v=""/>
    <s v="N/A-StillEmployed"/>
    <s v="Active"/>
    <x v="1"/>
    <s v="Peter Monroe"/>
    <n v="7"/>
    <x v="3"/>
    <x v="1"/>
    <n v="4.46"/>
    <x v="0"/>
    <n v="6"/>
    <d v="2026-01-07T00:00:00"/>
    <n v="0"/>
    <n v="7"/>
    <n v="1"/>
    <n v="27.4"/>
    <x v="0"/>
    <n v="3.8"/>
    <x v="1"/>
    <n v="4"/>
  </r>
  <r>
    <s v="Landa, Hans"/>
    <n v="10092"/>
    <n v="1"/>
    <n v="1"/>
    <n v="1"/>
    <n v="4"/>
    <n v="5"/>
    <n v="3"/>
    <n v="0"/>
    <n v="82758"/>
    <n v="1"/>
    <n v="18"/>
    <s v="Production Manager"/>
    <s v="MA"/>
    <n v="1890"/>
    <d v="1985-07-01T00:00:00"/>
    <x v="0"/>
    <s v="Married"/>
    <s v="US Citizen"/>
    <s v="No"/>
    <s v="White"/>
    <d v="2019-01-10T00:00:00"/>
    <d v="2023-12-12T00:00:00"/>
    <s v="attendance"/>
    <s v="Terminated for Cause"/>
    <x v="0"/>
    <s v="Janet King"/>
    <n v="2"/>
    <x v="3"/>
    <x v="1"/>
    <n v="4.78"/>
    <x v="2"/>
    <n v="0"/>
    <d v="2022-02-15T00:00:00"/>
    <n v="0"/>
    <n v="9"/>
    <n v="0"/>
    <n v="41.1"/>
    <x v="1"/>
    <n v="7.7"/>
    <x v="0"/>
    <n v="5"/>
  </r>
  <r>
    <s v="Langford, Lindsey"/>
    <n v="10106"/>
    <n v="0"/>
    <n v="2"/>
    <n v="0"/>
    <n v="5"/>
    <n v="5"/>
    <n v="3"/>
    <n v="0"/>
    <n v="66074"/>
    <n v="1"/>
    <n v="20"/>
    <s v="Production Technician II"/>
    <s v="MA"/>
    <n v="2090"/>
    <d v="1992-07-25T00:00:00"/>
    <x v="1"/>
    <s v="Divorced"/>
    <s v="US Citizen"/>
    <s v="No"/>
    <s v="Asian"/>
    <d v="2021-01-07T00:00:00"/>
    <d v="2022-03-31T00:00:00"/>
    <s v="Another position"/>
    <s v="Voluntarily Terminated"/>
    <x v="0"/>
    <s v="David Stanley"/>
    <n v="14"/>
    <x v="1"/>
    <x v="1"/>
    <n v="4.5199999999999996"/>
    <x v="1"/>
    <n v="0"/>
    <d v="2021-02-20T00:00:00"/>
    <n v="0"/>
    <n v="20"/>
    <n v="0"/>
    <n v="34.1"/>
    <x v="0"/>
    <n v="5.7"/>
    <x v="0"/>
    <n v="5"/>
  </r>
  <r>
    <s v="Langton, Enrico"/>
    <n v="10052"/>
    <n v="1"/>
    <n v="1"/>
    <n v="1"/>
    <n v="1"/>
    <n v="5"/>
    <n v="3"/>
    <n v="0"/>
    <n v="46120"/>
    <n v="0"/>
    <n v="19"/>
    <s v="Production Technician I"/>
    <s v="MA"/>
    <n v="2048"/>
    <d v="1999-12-09T00:00:00"/>
    <x v="0"/>
    <s v="Married"/>
    <s v="US Citizen"/>
    <s v="No"/>
    <s v="White"/>
    <d v="2020-07-09T00:00:00"/>
    <s v=""/>
    <s v="N/A-StillEmployed"/>
    <s v="Active"/>
    <x v="0"/>
    <s v="David Stanley"/>
    <n v="14"/>
    <x v="0"/>
    <x v="1"/>
    <n v="5"/>
    <x v="0"/>
    <n v="0"/>
    <d v="2026-02-04T00:00:00"/>
    <n v="0"/>
    <n v="13"/>
    <n v="1"/>
    <n v="26.8"/>
    <x v="0"/>
    <n v="6.1"/>
    <x v="0"/>
    <n v="5"/>
  </r>
  <r>
    <s v="LaRotonda, William  "/>
    <n v="10038"/>
    <n v="0"/>
    <n v="2"/>
    <n v="1"/>
    <n v="1"/>
    <n v="1"/>
    <n v="3"/>
    <n v="0"/>
    <n v="64520"/>
    <n v="0"/>
    <n v="1"/>
    <s v="Accountant I"/>
    <s v="MA"/>
    <n v="1460"/>
    <d v="1997-04-26T00:00:00"/>
    <x v="0"/>
    <s v="Divorced"/>
    <s v="US Citizen"/>
    <s v="No"/>
    <s v="Black or African American"/>
    <d v="2022-01-06T00:00:00"/>
    <s v=""/>
    <s v="N/A-StillEmployed"/>
    <s v="Active"/>
    <x v="3"/>
    <s v="Brandon R. LeBlanc"/>
    <n v="1"/>
    <x v="7"/>
    <x v="1"/>
    <n v="5"/>
    <x v="2"/>
    <n v="4"/>
    <d v="2026-01-17T00:00:00"/>
    <n v="0"/>
    <n v="3"/>
    <n v="1"/>
    <n v="29.4"/>
    <x v="0"/>
    <n v="4.7"/>
    <x v="1"/>
    <n v="4"/>
  </r>
  <r>
    <s v="Latif, Mohammed"/>
    <n v="10249"/>
    <n v="1"/>
    <n v="1"/>
    <n v="1"/>
    <n v="5"/>
    <n v="5"/>
    <n v="3"/>
    <n v="0"/>
    <n v="61962"/>
    <n v="1"/>
    <n v="20"/>
    <s v="Production Technician II"/>
    <s v="MA"/>
    <n v="2126"/>
    <d v="1997-05-09T00:00:00"/>
    <x v="0"/>
    <s v="Married"/>
    <s v="US Citizen"/>
    <s v="No"/>
    <s v="White"/>
    <d v="2020-04-02T00:00:00"/>
    <d v="2021-04-15T00:00:00"/>
    <s v="more money"/>
    <s v="Voluntarily Terminated"/>
    <x v="0"/>
    <s v="Kissy Sullivan"/>
    <n v="20"/>
    <x v="2"/>
    <x v="1"/>
    <n v="4.9000000000000004"/>
    <x v="1"/>
    <n v="0"/>
    <d v="2020-02-20T00:00:00"/>
    <n v="0"/>
    <n v="20"/>
    <n v="0"/>
    <n v="29.3"/>
    <x v="0"/>
    <n v="6.4"/>
    <x v="0"/>
    <n v="5"/>
  </r>
  <r>
    <s v="Le, Binh"/>
    <n v="10232"/>
    <n v="0"/>
    <n v="0"/>
    <n v="0"/>
    <n v="1"/>
    <n v="3"/>
    <n v="3"/>
    <n v="0"/>
    <n v="81584"/>
    <n v="0"/>
    <n v="22"/>
    <s v="Senior BI Developer"/>
    <s v="MA"/>
    <n v="1886"/>
    <d v="2000-06-14T00:00:00"/>
    <x v="1"/>
    <s v="Single"/>
    <s v="US Citizen"/>
    <s v="No"/>
    <s v="Asian"/>
    <d v="2024-10-02T00:00:00"/>
    <s v=""/>
    <s v="N/A-StillEmployed"/>
    <s v="Active"/>
    <x v="1"/>
    <s v="Brian Champaigne"/>
    <n v="13"/>
    <x v="1"/>
    <x v="1"/>
    <n v="4.0999999999999996"/>
    <x v="0"/>
    <n v="7"/>
    <d v="2026-01-08T00:00:00"/>
    <n v="0"/>
    <n v="2"/>
    <n v="1"/>
    <n v="26.2"/>
    <x v="0"/>
    <n v="1.8"/>
    <x v="3"/>
    <n v="2"/>
  </r>
  <r>
    <s v="Leach, Dallas"/>
    <n v="10087"/>
    <n v="0"/>
    <n v="0"/>
    <n v="0"/>
    <n v="5"/>
    <n v="5"/>
    <n v="3"/>
    <n v="0"/>
    <n v="63676"/>
    <n v="1"/>
    <n v="19"/>
    <s v="Production Technician I"/>
    <s v="MA"/>
    <n v="1810"/>
    <d v="1992-01-17T00:00:00"/>
    <x v="1"/>
    <s v="Single"/>
    <s v="US Citizen"/>
    <s v="No"/>
    <s v="Asian"/>
    <d v="2019-09-26T00:00:00"/>
    <d v="2026-08-19T00:00:00"/>
    <s v="return to school"/>
    <s v="Voluntarily Terminated"/>
    <x v="0"/>
    <s v="Kissy Sullivan"/>
    <n v="20"/>
    <x v="6"/>
    <x v="1"/>
    <n v="4.88"/>
    <x v="1"/>
    <n v="0"/>
    <d v="2024-07-02T00:00:00"/>
    <n v="0"/>
    <n v="17"/>
    <n v="1"/>
    <n v="34.700000000000003"/>
    <x v="0"/>
    <n v="6.8"/>
    <x v="0"/>
    <n v="5"/>
  </r>
  <r>
    <s v="LeBlanc, Brandon  R"/>
    <n v="10134"/>
    <n v="1"/>
    <n v="1"/>
    <n v="1"/>
    <n v="1"/>
    <n v="1"/>
    <n v="3"/>
    <n v="0"/>
    <n v="93046"/>
    <n v="0"/>
    <n v="23"/>
    <s v="Shared Services Manager"/>
    <s v="MA"/>
    <n v="1460"/>
    <d v="1997-06-10T00:00:00"/>
    <x v="0"/>
    <s v="Married"/>
    <s v="US Citizen"/>
    <s v="No"/>
    <s v="White"/>
    <d v="2024-01-05T00:00:00"/>
    <s v=""/>
    <s v="N/A-StillEmployed"/>
    <s v="Active"/>
    <x v="3"/>
    <s v="Janet King"/>
    <n v="2"/>
    <x v="6"/>
    <x v="1"/>
    <n v="4.0999999999999996"/>
    <x v="2"/>
    <n v="0"/>
    <d v="2026-01-28T00:00:00"/>
    <n v="0"/>
    <n v="20"/>
    <n v="1"/>
    <n v="29.2"/>
    <x v="0"/>
    <n v="2.7"/>
    <x v="2"/>
    <n v="3"/>
  </r>
  <r>
    <s v="Lecter, Hannibal"/>
    <n v="10251"/>
    <n v="1"/>
    <n v="1"/>
    <n v="1"/>
    <n v="1"/>
    <n v="5"/>
    <n v="3"/>
    <n v="0"/>
    <n v="64738"/>
    <n v="0"/>
    <n v="19"/>
    <s v="Production Technician I"/>
    <s v="MA"/>
    <n v="1776"/>
    <d v="1995-09-02T00:00:00"/>
    <x v="0"/>
    <s v="Married"/>
    <s v="US Citizen"/>
    <s v="No"/>
    <s v="Asian"/>
    <d v="2020-05-14T00:00:00"/>
    <s v=""/>
    <s v="N/A-StillEmployed"/>
    <s v="Active"/>
    <x v="0"/>
    <s v="Elijiah Gray"/>
    <n v="16"/>
    <x v="2"/>
    <x v="1"/>
    <n v="4.0999999999999996"/>
    <x v="1"/>
    <n v="0"/>
    <d v="2026-02-22T00:00:00"/>
    <n v="0"/>
    <n v="10"/>
    <n v="1"/>
    <n v="30.8"/>
    <x v="0"/>
    <n v="6.3"/>
    <x v="0"/>
    <n v="5"/>
  </r>
  <r>
    <s v="Leruth, Giovanni"/>
    <n v="10103"/>
    <n v="0"/>
    <n v="3"/>
    <n v="1"/>
    <n v="1"/>
    <n v="6"/>
    <n v="3"/>
    <n v="0"/>
    <n v="70468"/>
    <n v="0"/>
    <n v="3"/>
    <s v="Area Sales Manager"/>
    <s v="UT"/>
    <n v="84111"/>
    <d v="2001-12-27T00:00:00"/>
    <x v="0"/>
    <s v="Separated"/>
    <s v="US Citizen"/>
    <s v="No"/>
    <s v="Black or African American"/>
    <d v="2020-04-30T00:00:00"/>
    <s v=""/>
    <s v="N/A-StillEmployed"/>
    <s v="Active"/>
    <x v="4"/>
    <s v="John Smith"/>
    <n v="17"/>
    <x v="7"/>
    <x v="1"/>
    <n v="4.53"/>
    <x v="1"/>
    <n v="0"/>
    <d v="2026-01-29T00:00:00"/>
    <n v="0"/>
    <n v="16"/>
    <n v="1"/>
    <n v="24.8"/>
    <x v="2"/>
    <n v="6.4"/>
    <x v="0"/>
    <n v="5"/>
  </r>
  <r>
    <s v="Liebig, Ketsia"/>
    <n v="10017"/>
    <n v="1"/>
    <n v="1"/>
    <n v="0"/>
    <n v="1"/>
    <n v="5"/>
    <n v="4"/>
    <n v="0"/>
    <n v="77915"/>
    <n v="0"/>
    <n v="18"/>
    <s v="Production Manager"/>
    <s v="MA"/>
    <n v="2110"/>
    <d v="1994-10-26T00:00:00"/>
    <x v="1"/>
    <s v="Married"/>
    <s v="US Citizen"/>
    <s v="No"/>
    <s v="White"/>
    <d v="2021-09-30T00:00:00"/>
    <s v=""/>
    <s v="N/A-StillEmployed"/>
    <s v="Active"/>
    <x v="0"/>
    <s v="Janet King"/>
    <n v="2"/>
    <x v="7"/>
    <x v="0"/>
    <n v="4.0999999999999996"/>
    <x v="1"/>
    <n v="0"/>
    <d v="2026-01-21T00:00:00"/>
    <n v="0"/>
    <n v="11"/>
    <n v="1"/>
    <n v="31.8"/>
    <x v="0"/>
    <n v="4.8"/>
    <x v="1"/>
    <n v="4"/>
  </r>
  <r>
    <s v="Linares, Marilyn "/>
    <n v="10186"/>
    <n v="1"/>
    <n v="1"/>
    <n v="0"/>
    <n v="5"/>
    <n v="5"/>
    <n v="3"/>
    <n v="0"/>
    <n v="52624"/>
    <n v="1"/>
    <n v="19"/>
    <s v="Production Technician I"/>
    <s v="MA"/>
    <n v="1886"/>
    <d v="1994-03-26T00:00:00"/>
    <x v="1"/>
    <s v="Married"/>
    <s v="US Citizen"/>
    <s v="No"/>
    <s v="White"/>
    <d v="2019-07-05T00:00:00"/>
    <d v="2018-09-26T00:00:00"/>
    <s v="unhappy"/>
    <s v="Voluntarily Terminated"/>
    <x v="0"/>
    <s v="Michael Albert"/>
    <n v="22"/>
    <x v="1"/>
    <x v="1"/>
    <n v="3.18"/>
    <x v="2"/>
    <n v="0"/>
    <d v="2025-03-02T00:00:00"/>
    <n v="0"/>
    <n v="16"/>
    <n v="0"/>
    <n v="32.5"/>
    <x v="0"/>
    <n v="7.1"/>
    <x v="0"/>
    <n v="5"/>
  </r>
  <r>
    <s v="Linden, Mathew"/>
    <n v="10137"/>
    <n v="1"/>
    <n v="1"/>
    <n v="1"/>
    <n v="3"/>
    <n v="5"/>
    <n v="3"/>
    <n v="0"/>
    <n v="63450"/>
    <n v="0"/>
    <n v="20"/>
    <s v="Production Technician II"/>
    <s v="MA"/>
    <n v="1770"/>
    <d v="1992-03-19T00:00:00"/>
    <x v="0"/>
    <s v="Married"/>
    <s v="US Citizen"/>
    <s v="No"/>
    <s v="White"/>
    <d v="2021-07-08T00:00:00"/>
    <s v=""/>
    <s v="N/A-StillEmployed"/>
    <s v="Active"/>
    <x v="0"/>
    <s v="Kelley Spirea"/>
    <n v="18"/>
    <x v="0"/>
    <x v="1"/>
    <n v="4"/>
    <x v="1"/>
    <n v="0"/>
    <d v="2026-02-18T00:00:00"/>
    <n v="0"/>
    <n v="7"/>
    <n v="1"/>
    <n v="34.5"/>
    <x v="0"/>
    <n v="5.0999999999999996"/>
    <x v="0"/>
    <n v="5"/>
  </r>
  <r>
    <s v="Lindsay, Leonara "/>
    <n v="10008"/>
    <n v="0"/>
    <n v="0"/>
    <n v="0"/>
    <n v="1"/>
    <n v="3"/>
    <n v="4"/>
    <n v="1"/>
    <n v="51777"/>
    <n v="0"/>
    <n v="14"/>
    <s v="IT Support"/>
    <s v="CT"/>
    <n v="6070"/>
    <d v="2001-10-05T00:00:00"/>
    <x v="1"/>
    <s v="Single"/>
    <s v="US Citizen"/>
    <s v="Yes"/>
    <s v="Black or African American"/>
    <d v="2019-01-21T00:00:00"/>
    <s v=""/>
    <s v="N/A-StillEmployed"/>
    <s v="Active"/>
    <x v="1"/>
    <s v="Eric Dougall"/>
    <n v="6"/>
    <x v="4"/>
    <x v="0"/>
    <n v="4.6399999999999997"/>
    <x v="2"/>
    <n v="5"/>
    <d v="2026-01-25T00:00:00"/>
    <n v="0"/>
    <n v="14"/>
    <n v="1"/>
    <n v="24.8"/>
    <x v="2"/>
    <n v="7.7"/>
    <x v="0"/>
    <n v="5"/>
  </r>
  <r>
    <s v="Lundy, Susan"/>
    <n v="10096"/>
    <n v="0"/>
    <n v="4"/>
    <n v="0"/>
    <n v="5"/>
    <n v="5"/>
    <n v="3"/>
    <n v="0"/>
    <n v="67237"/>
    <n v="1"/>
    <n v="20"/>
    <s v="Production Technician II"/>
    <s v="MA"/>
    <n v="2122"/>
    <d v="1989-12-26T00:00:00"/>
    <x v="1"/>
    <s v="Widowed"/>
    <s v="US Citizen"/>
    <s v="No"/>
    <s v="White"/>
    <d v="2021-07-08T00:00:00"/>
    <d v="2024-09-15T00:00:00"/>
    <s v="more money"/>
    <s v="Voluntarily Terminated"/>
    <x v="0"/>
    <s v="Michael Albert"/>
    <n v="22"/>
    <x v="0"/>
    <x v="1"/>
    <n v="4.6500000000000004"/>
    <x v="2"/>
    <n v="0"/>
    <d v="2023-06-10T00:00:00"/>
    <n v="0"/>
    <n v="15"/>
    <n v="0"/>
    <n v="36.799999999999997"/>
    <x v="1"/>
    <n v="5.0999999999999996"/>
    <x v="0"/>
    <n v="5"/>
  </r>
  <r>
    <s v="Lunquist, Lisa"/>
    <n v="10035"/>
    <n v="0"/>
    <n v="0"/>
    <n v="0"/>
    <n v="1"/>
    <n v="5"/>
    <n v="4"/>
    <n v="0"/>
    <n v="73330"/>
    <n v="0"/>
    <n v="20"/>
    <s v="Production Technician II"/>
    <s v="MA"/>
    <n v="2324"/>
    <d v="1995-03-28T00:00:00"/>
    <x v="1"/>
    <s v="Single"/>
    <s v="US Citizen"/>
    <s v="No"/>
    <s v="Black or African American"/>
    <d v="2021-08-19T00:00:00"/>
    <s v=""/>
    <s v="N/A-StillEmployed"/>
    <s v="Active"/>
    <x v="0"/>
    <s v="Elijiah Gray"/>
    <n v="16"/>
    <x v="1"/>
    <x v="0"/>
    <n v="4.2"/>
    <x v="2"/>
    <n v="0"/>
    <d v="2026-02-12T00:00:00"/>
    <n v="0"/>
    <n v="19"/>
    <n v="1"/>
    <n v="31.5"/>
    <x v="0"/>
    <n v="5"/>
    <x v="1"/>
    <n v="4"/>
  </r>
  <r>
    <s v="Lydon, Allison"/>
    <n v="10057"/>
    <n v="1"/>
    <n v="1"/>
    <n v="0"/>
    <n v="3"/>
    <n v="5"/>
    <n v="3"/>
    <n v="0"/>
    <n v="52057"/>
    <n v="0"/>
    <n v="19"/>
    <s v="Production Technician I"/>
    <s v="MA"/>
    <n v="2122"/>
    <d v="1988-10-22T00:00:00"/>
    <x v="1"/>
    <s v="Married"/>
    <s v="US Citizen"/>
    <s v="No"/>
    <s v="Black or African American"/>
    <d v="2023-02-16T00:00:00"/>
    <s v=""/>
    <s v="N/A-StillEmployed"/>
    <s v="Active"/>
    <x v="0"/>
    <s v="Elijiah Gray"/>
    <n v="16"/>
    <x v="7"/>
    <x v="1"/>
    <n v="5"/>
    <x v="1"/>
    <n v="0"/>
    <d v="2026-01-23T00:00:00"/>
    <n v="0"/>
    <n v="6"/>
    <n v="1"/>
    <n v="37.799999999999997"/>
    <x v="1"/>
    <n v="3.6"/>
    <x v="1"/>
    <n v="4"/>
  </r>
  <r>
    <s v="Lynch, Lindsay"/>
    <n v="10004"/>
    <n v="0"/>
    <n v="0"/>
    <n v="0"/>
    <n v="5"/>
    <n v="5"/>
    <n v="4"/>
    <n v="1"/>
    <n v="47434"/>
    <n v="1"/>
    <n v="19"/>
    <s v="Production Technician I"/>
    <s v="MA"/>
    <n v="1844"/>
    <d v="1986-02-14T00:00:00"/>
    <x v="1"/>
    <s v="Single"/>
    <s v="US Citizen"/>
    <s v="Yes"/>
    <s v="Black or African American"/>
    <d v="2019-11-07T00:00:00"/>
    <d v="2023-11-14T00:00:00"/>
    <s v="Another position"/>
    <s v="Voluntarily Terminated"/>
    <x v="0"/>
    <s v="Webster Butler"/>
    <n v="39"/>
    <x v="4"/>
    <x v="0"/>
    <n v="5"/>
    <x v="2"/>
    <n v="0"/>
    <d v="2022-02-02T00:00:00"/>
    <n v="0"/>
    <n v="17"/>
    <n v="0"/>
    <n v="40.6"/>
    <x v="1"/>
    <n v="6.8"/>
    <x v="0"/>
    <n v="5"/>
  </r>
  <r>
    <s v="MacLennan, Samuel"/>
    <n v="10191"/>
    <n v="0"/>
    <n v="4"/>
    <n v="1"/>
    <n v="5"/>
    <n v="5"/>
    <n v="3"/>
    <n v="0"/>
    <n v="52788"/>
    <n v="1"/>
    <n v="19"/>
    <s v="Production Technician I"/>
    <s v="MA"/>
    <n v="1938"/>
    <d v="1985-11-09T00:00:00"/>
    <x v="0"/>
    <s v="Widowed"/>
    <s v="US Citizen"/>
    <s v="No"/>
    <s v="White"/>
    <d v="2020-09-24T00:00:00"/>
    <d v="2025-09-26T00:00:00"/>
    <s v="hours"/>
    <s v="Voluntarily Terminated"/>
    <x v="0"/>
    <s v="Amy Dunn"/>
    <n v="11"/>
    <x v="1"/>
    <x v="1"/>
    <n v="3.08"/>
    <x v="2"/>
    <n v="0"/>
    <d v="2024-04-01T00:00:00"/>
    <n v="0"/>
    <n v="18"/>
    <n v="0"/>
    <n v="40.799999999999997"/>
    <x v="1"/>
    <n v="5.8"/>
    <x v="0"/>
    <n v="5"/>
  </r>
  <r>
    <s v="Mahoney, Lauren  "/>
    <n v="10219"/>
    <n v="0"/>
    <n v="0"/>
    <n v="0"/>
    <n v="1"/>
    <n v="5"/>
    <n v="3"/>
    <n v="0"/>
    <n v="45395"/>
    <n v="0"/>
    <n v="19"/>
    <s v="Production Technician I"/>
    <s v="MA"/>
    <n v="2189"/>
    <d v="1999-07-07T00:00:00"/>
    <x v="1"/>
    <s v="Single"/>
    <s v="US Citizen"/>
    <s v="No"/>
    <s v="White"/>
    <d v="2022-01-06T00:00:00"/>
    <s v=""/>
    <s v="N/A-StillEmployed"/>
    <s v="Active"/>
    <x v="0"/>
    <s v="Ketsia Liebig"/>
    <n v="19"/>
    <x v="0"/>
    <x v="1"/>
    <n v="4.5999999999999996"/>
    <x v="2"/>
    <n v="0"/>
    <d v="2026-02-26T00:00:00"/>
    <n v="0"/>
    <n v="14"/>
    <n v="1"/>
    <n v="27.1"/>
    <x v="0"/>
    <n v="4.7"/>
    <x v="1"/>
    <n v="4"/>
  </r>
  <r>
    <s v="Manchester, Robyn"/>
    <n v="10077"/>
    <n v="1"/>
    <n v="1"/>
    <n v="0"/>
    <n v="2"/>
    <n v="5"/>
    <n v="3"/>
    <n v="0"/>
    <n v="62385"/>
    <n v="0"/>
    <n v="20"/>
    <s v="Production Technician II"/>
    <s v="MA"/>
    <n v="2324"/>
    <d v="1989-08-25T00:00:00"/>
    <x v="1"/>
    <s v="Married"/>
    <s v="US Citizen"/>
    <s v="No"/>
    <s v="White"/>
    <d v="2024-05-11T00:00:00"/>
    <s v=""/>
    <s v="N/A-StillEmployed"/>
    <s v="Active"/>
    <x v="0"/>
    <s v="Webster Butler"/>
    <m/>
    <x v="0"/>
    <x v="1"/>
    <n v="5"/>
    <x v="1"/>
    <n v="0"/>
    <d v="2026-01-21T00:00:00"/>
    <n v="0"/>
    <n v="4"/>
    <n v="1"/>
    <n v="37"/>
    <x v="1"/>
    <n v="2.2999999999999998"/>
    <x v="2"/>
    <n v="3"/>
  </r>
  <r>
    <s v="Mancuso, Karen"/>
    <n v="10073"/>
    <n v="1"/>
    <n v="1"/>
    <n v="0"/>
    <n v="5"/>
    <n v="5"/>
    <n v="3"/>
    <n v="0"/>
    <n v="68407"/>
    <n v="1"/>
    <n v="20"/>
    <s v="Production Technician II"/>
    <s v="MA"/>
    <n v="2176"/>
    <d v="1999-12-10T00:00:00"/>
    <x v="1"/>
    <s v="Married"/>
    <s v="US Citizen"/>
    <s v="No"/>
    <s v="Two or more races"/>
    <d v="2019-07-05T00:00:00"/>
    <d v="2020-08-19T00:00:00"/>
    <s v="Another position"/>
    <s v="Voluntarily Terminated"/>
    <x v="0"/>
    <s v="Amy Dunn"/>
    <n v="11"/>
    <x v="0"/>
    <x v="1"/>
    <n v="5"/>
    <x v="2"/>
    <n v="0"/>
    <d v="2019-07-02T00:00:00"/>
    <n v="0"/>
    <n v="16"/>
    <n v="0"/>
    <n v="26.8"/>
    <x v="0"/>
    <n v="7.1"/>
    <x v="0"/>
    <n v="5"/>
  </r>
  <r>
    <s v="Mangal, Debbie"/>
    <n v="10279"/>
    <n v="1"/>
    <n v="1"/>
    <n v="0"/>
    <n v="1"/>
    <n v="5"/>
    <n v="3"/>
    <n v="0"/>
    <n v="61349"/>
    <n v="0"/>
    <n v="19"/>
    <s v="Production Technician I"/>
    <s v="MA"/>
    <n v="2451"/>
    <d v="1987-11-07T00:00:00"/>
    <x v="1"/>
    <s v="Married"/>
    <s v="US Citizen"/>
    <s v="No"/>
    <s v="White"/>
    <d v="2021-11-11T00:00:00"/>
    <s v=""/>
    <s v="N/A-StillEmployed"/>
    <s v="Active"/>
    <x v="0"/>
    <s v="Brannon Miller"/>
    <n v="12"/>
    <x v="0"/>
    <x v="1"/>
    <n v="4.0999999999999996"/>
    <x v="1"/>
    <n v="0"/>
    <d v="2026-01-22T00:00:00"/>
    <n v="0"/>
    <n v="11"/>
    <n v="1"/>
    <n v="38.799999999999997"/>
    <x v="1"/>
    <n v="4.8"/>
    <x v="1"/>
    <n v="4"/>
  </r>
  <r>
    <s v="Martin, Sandra"/>
    <n v="10110"/>
    <n v="0"/>
    <n v="0"/>
    <n v="0"/>
    <n v="1"/>
    <n v="4"/>
    <n v="3"/>
    <n v="0"/>
    <n v="105688"/>
    <n v="0"/>
    <n v="24"/>
    <s v="Software Engineer"/>
    <s v="MA"/>
    <n v="2135"/>
    <d v="2000-11-07T00:00:00"/>
    <x v="1"/>
    <s v="Single"/>
    <s v="US Citizen"/>
    <s v="No"/>
    <s v="Asian"/>
    <d v="2021-11-11T00:00:00"/>
    <s v=""/>
    <s v="N/A-StillEmployed"/>
    <s v="Active"/>
    <x v="2"/>
    <s v="Alex Sweetwater"/>
    <n v="10"/>
    <x v="2"/>
    <x v="1"/>
    <n v="4.5"/>
    <x v="0"/>
    <n v="4"/>
    <d v="2026-01-14T00:00:00"/>
    <n v="0"/>
    <n v="14"/>
    <n v="1"/>
    <n v="25.8"/>
    <x v="0"/>
    <n v="4.8"/>
    <x v="1"/>
    <n v="4"/>
  </r>
  <r>
    <s v="Maurice, Shana"/>
    <n v="10053"/>
    <n v="1"/>
    <n v="1"/>
    <n v="0"/>
    <n v="1"/>
    <n v="5"/>
    <n v="3"/>
    <n v="0"/>
    <n v="54132"/>
    <n v="0"/>
    <n v="19"/>
    <s v="Production Technician I"/>
    <s v="MA"/>
    <n v="2330"/>
    <d v="1990-11-22T00:00:00"/>
    <x v="1"/>
    <s v="Married"/>
    <s v="US Citizen"/>
    <s v="No"/>
    <s v="White"/>
    <d v="2019-05-31T00:00:00"/>
    <s v=""/>
    <s v="N/A-StillEmployed"/>
    <s v="Active"/>
    <x v="0"/>
    <s v="David Stanley"/>
    <n v="14"/>
    <x v="1"/>
    <x v="1"/>
    <n v="5"/>
    <x v="2"/>
    <n v="0"/>
    <d v="2026-01-10T00:00:00"/>
    <n v="0"/>
    <n v="8"/>
    <n v="1"/>
    <n v="35.799999999999997"/>
    <x v="1"/>
    <n v="7.3"/>
    <x v="0"/>
    <n v="5"/>
  </r>
  <r>
    <s v="Carthy, B'rigit"/>
    <n v="10076"/>
    <n v="0"/>
    <n v="0"/>
    <n v="0"/>
    <n v="1"/>
    <n v="5"/>
    <n v="3"/>
    <n v="0"/>
    <n v="55315"/>
    <n v="0"/>
    <n v="20"/>
    <s v="Production Technician II"/>
    <s v="MA"/>
    <n v="2149"/>
    <d v="2000-05-21T00:00:00"/>
    <x v="1"/>
    <s v="Single"/>
    <s v="US Citizen"/>
    <s v="No"/>
    <s v="Black or African American"/>
    <d v="2023-03-30T00:00:00"/>
    <s v=""/>
    <s v="N/A-StillEmployed"/>
    <s v="Active"/>
    <x v="0"/>
    <s v="Ketsia Liebig"/>
    <n v="19"/>
    <x v="0"/>
    <x v="1"/>
    <n v="5"/>
    <x v="0"/>
    <n v="0"/>
    <d v="2026-02-07T00:00:00"/>
    <n v="0"/>
    <n v="16"/>
    <n v="1"/>
    <n v="26.3"/>
    <x v="0"/>
    <n v="3.5"/>
    <x v="1"/>
    <n v="4"/>
  </r>
  <r>
    <s v="Mckenna, Sandy"/>
    <n v="10145"/>
    <n v="1"/>
    <n v="1"/>
    <n v="0"/>
    <n v="1"/>
    <n v="5"/>
    <n v="3"/>
    <n v="0"/>
    <n v="62810"/>
    <n v="0"/>
    <n v="19"/>
    <s v="Production Technician I"/>
    <s v="MA"/>
    <n v="2184"/>
    <d v="2000-01-07T00:00:00"/>
    <x v="1"/>
    <s v="Married"/>
    <s v="US Citizen"/>
    <s v="No"/>
    <s v="Black or African American"/>
    <d v="2021-01-07T00:00:00"/>
    <s v=""/>
    <s v="N/A-StillEmployed"/>
    <s v="Active"/>
    <x v="0"/>
    <s v="Kissy Sullivan"/>
    <n v="20"/>
    <x v="6"/>
    <x v="1"/>
    <n v="3.93"/>
    <x v="1"/>
    <n v="0"/>
    <d v="2026-01-30T00:00:00"/>
    <n v="0"/>
    <n v="20"/>
    <n v="1"/>
    <n v="26.7"/>
    <x v="0"/>
    <n v="5.7"/>
    <x v="0"/>
    <n v="5"/>
  </r>
  <r>
    <s v="McKinzie, Jac"/>
    <n v="10202"/>
    <n v="1"/>
    <n v="1"/>
    <n v="1"/>
    <n v="2"/>
    <n v="6"/>
    <n v="3"/>
    <n v="0"/>
    <n v="63291"/>
    <n v="0"/>
    <n v="3"/>
    <s v="Area Sales Manager"/>
    <s v="TX"/>
    <n v="78789"/>
    <d v="1997-07-01T00:00:00"/>
    <x v="0"/>
    <s v="Married"/>
    <s v="US Citizen"/>
    <s v="No"/>
    <s v="Two or more races"/>
    <d v="2024-07-06T00:00:00"/>
    <s v=""/>
    <s v="N/A-StillEmployed"/>
    <s v="Active"/>
    <x v="4"/>
    <s v="Lynn Daneault"/>
    <n v="21"/>
    <x v="7"/>
    <x v="1"/>
    <n v="3.4"/>
    <x v="2"/>
    <n v="0"/>
    <d v="2026-01-29T00:00:00"/>
    <n v="0"/>
    <n v="7"/>
    <n v="1"/>
    <n v="29.1"/>
    <x v="0"/>
    <n v="2.1"/>
    <x v="2"/>
    <n v="3"/>
  </r>
  <r>
    <s v="Meads, Elizabeth"/>
    <n v="10128"/>
    <n v="0"/>
    <n v="0"/>
    <n v="0"/>
    <n v="5"/>
    <n v="5"/>
    <n v="3"/>
    <n v="1"/>
    <n v="62659"/>
    <n v="1"/>
    <n v="19"/>
    <s v="Production Technician I"/>
    <s v="MA"/>
    <n v="1760"/>
    <d v="1981-05-30T00:00:00"/>
    <x v="1"/>
    <s v="Single"/>
    <s v="US Citizen"/>
    <s v="No"/>
    <s v="Black or African American"/>
    <d v="2020-04-02T00:00:00"/>
    <d v="2024-11-11T00:00:00"/>
    <s v="Another position"/>
    <s v="Voluntarily Terminated"/>
    <x v="0"/>
    <s v="Kelley Spirea"/>
    <n v="18"/>
    <x v="4"/>
    <x v="1"/>
    <n v="4.18"/>
    <x v="2"/>
    <n v="0"/>
    <d v="2023-02-05T00:00:00"/>
    <n v="0"/>
    <n v="17"/>
    <n v="0"/>
    <n v="45.3"/>
    <x v="3"/>
    <n v="6.4"/>
    <x v="0"/>
    <n v="5"/>
  </r>
  <r>
    <s v="Medeiros, Jennifer"/>
    <n v="10068"/>
    <n v="0"/>
    <n v="0"/>
    <n v="0"/>
    <n v="1"/>
    <n v="5"/>
    <n v="3"/>
    <n v="0"/>
    <n v="55688"/>
    <n v="0"/>
    <n v="19"/>
    <s v="Production Technician I"/>
    <s v="MA"/>
    <n v="2346"/>
    <d v="1989-09-22T00:00:00"/>
    <x v="1"/>
    <s v="Single"/>
    <s v="US Citizen"/>
    <s v="No"/>
    <s v="White"/>
    <d v="2023-03-30T00:00:00"/>
    <s v=""/>
    <s v="N/A-StillEmployed"/>
    <s v="Active"/>
    <x v="0"/>
    <s v="Michael Albert"/>
    <n v="22"/>
    <x v="6"/>
    <x v="1"/>
    <n v="5"/>
    <x v="2"/>
    <n v="0"/>
    <d v="2026-01-21T00:00:00"/>
    <n v="0"/>
    <n v="10"/>
    <n v="1"/>
    <n v="36.799999999999997"/>
    <x v="1"/>
    <n v="3.5"/>
    <x v="1"/>
    <n v="4"/>
  </r>
  <r>
    <s v="Miller, Brannon"/>
    <n v="10116"/>
    <n v="0"/>
    <n v="0"/>
    <n v="1"/>
    <n v="1"/>
    <n v="5"/>
    <n v="3"/>
    <n v="0"/>
    <n v="83667"/>
    <n v="0"/>
    <n v="18"/>
    <s v="Production Manager"/>
    <s v="MA"/>
    <n v="2045"/>
    <d v="1994-08-10T00:00:00"/>
    <x v="0"/>
    <s v="Single"/>
    <s v="US Citizen"/>
    <s v="Yes"/>
    <s v="Hispanic"/>
    <d v="2020-08-16T00:00:00"/>
    <s v=""/>
    <s v="N/A-StillEmployed"/>
    <s v="Active"/>
    <x v="0"/>
    <s v="Janet King"/>
    <n v="2"/>
    <x v="1"/>
    <x v="1"/>
    <n v="4.37"/>
    <x v="1"/>
    <n v="0"/>
    <d v="2026-01-14T00:00:00"/>
    <n v="0"/>
    <n v="2"/>
    <n v="1"/>
    <n v="32"/>
    <x v="0"/>
    <n v="6"/>
    <x v="0"/>
    <n v="5"/>
  </r>
  <r>
    <s v="Miller, Ned"/>
    <n v="10298"/>
    <n v="0"/>
    <n v="0"/>
    <n v="1"/>
    <n v="5"/>
    <n v="5"/>
    <n v="1"/>
    <n v="0"/>
    <n v="55800"/>
    <n v="1"/>
    <n v="20"/>
    <s v="Production Technician II"/>
    <s v="MA"/>
    <n v="2472"/>
    <d v="1998-06-29T00:00:00"/>
    <x v="0"/>
    <s v="Single"/>
    <s v="US Citizen"/>
    <s v="No"/>
    <s v="White"/>
    <d v="2019-08-15T00:00:00"/>
    <d v="2022-09-04T00:00:00"/>
    <s v="unhappy"/>
    <s v="Voluntarily Terminated"/>
    <x v="0"/>
    <s v="Brannon Miller"/>
    <n v="12"/>
    <x v="0"/>
    <x v="3"/>
    <n v="3"/>
    <x v="3"/>
    <n v="0"/>
    <d v="2020-01-14T00:00:00"/>
    <n v="6"/>
    <n v="6"/>
    <n v="0"/>
    <n v="28.2"/>
    <x v="0"/>
    <n v="7"/>
    <x v="0"/>
    <n v="5"/>
  </r>
  <r>
    <s v="Monkfish, Erasumus"/>
    <n v="10213"/>
    <n v="1"/>
    <n v="1"/>
    <n v="1"/>
    <n v="1"/>
    <n v="5"/>
    <n v="3"/>
    <n v="0"/>
    <n v="58207"/>
    <n v="0"/>
    <n v="20"/>
    <s v="Production Technician II"/>
    <s v="MA"/>
    <n v="1450"/>
    <d v="2005-08-17T00:00:00"/>
    <x v="0"/>
    <s v="Married"/>
    <s v="US Citizen"/>
    <s v="No"/>
    <s v="White"/>
    <d v="2019-11-07T00:00:00"/>
    <s v=""/>
    <s v="N/A-StillEmployed"/>
    <s v="Active"/>
    <x v="0"/>
    <s v="David Stanley"/>
    <n v="14"/>
    <x v="0"/>
    <x v="1"/>
    <n v="3.7"/>
    <x v="1"/>
    <n v="0"/>
    <d v="2026-01-08T00:00:00"/>
    <n v="0"/>
    <n v="14"/>
    <n v="1"/>
    <n v="21"/>
    <x v="2"/>
    <n v="6.8"/>
    <x v="0"/>
    <n v="5"/>
  </r>
  <r>
    <s v="Monroe, Peter"/>
    <n v="10288"/>
    <n v="1"/>
    <n v="1"/>
    <n v="1"/>
    <n v="1"/>
    <n v="3"/>
    <n v="2"/>
    <n v="1"/>
    <n v="157000"/>
    <n v="0"/>
    <n v="13"/>
    <s v="IT Manager - Infra"/>
    <s v="MA"/>
    <n v="2134"/>
    <d v="1999-10-05T00:00:00"/>
    <x v="0"/>
    <s v="Married"/>
    <s v="Eligible NonCitizen"/>
    <s v="Yes"/>
    <s v="Black or African American"/>
    <d v="2020-02-15T00:00:00"/>
    <s v=""/>
    <s v="N/A-StillEmployed"/>
    <s v="Active"/>
    <x v="1"/>
    <s v="Jennifer Zamora"/>
    <n v="5"/>
    <x v="4"/>
    <x v="2"/>
    <n v="2.39"/>
    <x v="1"/>
    <n v="6"/>
    <d v="2026-02-22T00:00:00"/>
    <n v="4"/>
    <n v="13"/>
    <n v="1"/>
    <n v="26.8"/>
    <x v="0"/>
    <n v="6.6"/>
    <x v="0"/>
    <n v="5"/>
  </r>
  <r>
    <s v="Monterro, Luisa"/>
    <n v="10025"/>
    <n v="0"/>
    <n v="0"/>
    <n v="0"/>
    <n v="1"/>
    <n v="5"/>
    <n v="4"/>
    <n v="0"/>
    <n v="72460"/>
    <n v="0"/>
    <n v="20"/>
    <s v="Production Technician II"/>
    <s v="MA"/>
    <n v="2126"/>
    <d v="1983-04-24T00:00:00"/>
    <x v="1"/>
    <s v="Single"/>
    <s v="US Citizen"/>
    <s v="No"/>
    <s v="Black or African American"/>
    <d v="2021-05-13T00:00:00"/>
    <s v=""/>
    <s v="N/A-StillEmployed"/>
    <s v="Active"/>
    <x v="0"/>
    <s v="Kissy Sullivan"/>
    <n v="20"/>
    <x v="1"/>
    <x v="0"/>
    <n v="4.7"/>
    <x v="1"/>
    <n v="0"/>
    <d v="2026-01-14T00:00:00"/>
    <n v="0"/>
    <n v="1"/>
    <n v="1"/>
    <n v="43.4"/>
    <x v="1"/>
    <n v="5.3"/>
    <x v="0"/>
    <n v="5"/>
  </r>
  <r>
    <s v="Moran, Patrick"/>
    <n v="10223"/>
    <n v="0"/>
    <n v="0"/>
    <n v="1"/>
    <n v="3"/>
    <n v="5"/>
    <n v="3"/>
    <n v="1"/>
    <n v="72106"/>
    <n v="0"/>
    <n v="20"/>
    <s v="Production Technician II"/>
    <s v="MA"/>
    <n v="2127"/>
    <d v="1989-12-03T00:00:00"/>
    <x v="0"/>
    <s v="Single"/>
    <s v="US Citizen"/>
    <s v="No"/>
    <s v="Black or African American"/>
    <d v="2020-01-09T00:00:00"/>
    <s v=""/>
    <s v="N/A-StillEmployed"/>
    <s v="Active"/>
    <x v="0"/>
    <s v="Kelley Spirea"/>
    <n v="18"/>
    <x v="4"/>
    <x v="1"/>
    <n v="4.0999999999999996"/>
    <x v="2"/>
    <n v="0"/>
    <d v="2026-01-31T00:00:00"/>
    <n v="0"/>
    <n v="12"/>
    <n v="1"/>
    <n v="36.799999999999997"/>
    <x v="1"/>
    <n v="6.7"/>
    <x v="0"/>
    <n v="5"/>
  </r>
  <r>
    <s v="Morway, Tanya"/>
    <n v="10151"/>
    <n v="1"/>
    <n v="1"/>
    <n v="0"/>
    <n v="1"/>
    <n v="3"/>
    <n v="3"/>
    <n v="0"/>
    <n v="52599"/>
    <n v="0"/>
    <n v="15"/>
    <s v="Network Engineer"/>
    <s v="MA"/>
    <n v="2048"/>
    <d v="1992-04-04T00:00:00"/>
    <x v="1"/>
    <s v="Married"/>
    <s v="US Citizen"/>
    <s v="No"/>
    <s v="White"/>
    <d v="2023-02-16T00:00:00"/>
    <s v=""/>
    <s v="N/A-StillEmployed"/>
    <s v="Active"/>
    <x v="1"/>
    <s v="Peter Monroe"/>
    <n v="7"/>
    <x v="6"/>
    <x v="1"/>
    <n v="3.81"/>
    <x v="1"/>
    <n v="6"/>
    <d v="2026-02-11T00:00:00"/>
    <n v="0"/>
    <n v="6"/>
    <n v="1"/>
    <n v="34.4"/>
    <x v="0"/>
    <n v="3.6"/>
    <x v="1"/>
    <n v="4"/>
  </r>
  <r>
    <s v="Motlagh,  Dawn"/>
    <n v="10254"/>
    <n v="0"/>
    <n v="2"/>
    <n v="0"/>
    <n v="1"/>
    <n v="5"/>
    <n v="3"/>
    <n v="0"/>
    <n v="63430"/>
    <n v="0"/>
    <n v="19"/>
    <s v="Production Technician I"/>
    <s v="MA"/>
    <n v="2453"/>
    <d v="1997-07-07T00:00:00"/>
    <x v="1"/>
    <s v="Divorced"/>
    <s v="US Citizen"/>
    <s v="No"/>
    <s v="White"/>
    <d v="2021-04-01T00:00:00"/>
    <s v=""/>
    <s v="N/A-StillEmployed"/>
    <s v="Active"/>
    <x v="0"/>
    <s v="Elijiah Gray"/>
    <n v="16"/>
    <x v="0"/>
    <x v="1"/>
    <n v="4.4000000000000004"/>
    <x v="2"/>
    <n v="0"/>
    <d v="2026-01-17T00:00:00"/>
    <n v="0"/>
    <n v="18"/>
    <n v="1"/>
    <n v="29.1"/>
    <x v="0"/>
    <n v="5.4"/>
    <x v="0"/>
    <n v="5"/>
  </r>
  <r>
    <s v="Moumanil, Maliki "/>
    <n v="10120"/>
    <n v="0"/>
    <n v="3"/>
    <n v="1"/>
    <n v="1"/>
    <n v="5"/>
    <n v="3"/>
    <n v="0"/>
    <n v="74417"/>
    <n v="0"/>
    <n v="20"/>
    <s v="Production Technician II"/>
    <s v="MA"/>
    <n v="1460"/>
    <d v="1987-12-01T00:00:00"/>
    <x v="0"/>
    <s v="Separated"/>
    <s v="US Citizen"/>
    <s v="No"/>
    <s v="Black or African American"/>
    <d v="2021-05-13T00:00:00"/>
    <s v=""/>
    <s v="N/A-StillEmployed"/>
    <s v="Active"/>
    <x v="0"/>
    <s v="Michael Albert"/>
    <n v="22"/>
    <x v="0"/>
    <x v="1"/>
    <n v="4.29"/>
    <x v="0"/>
    <n v="0"/>
    <d v="2026-01-28T00:00:00"/>
    <n v="0"/>
    <n v="11"/>
    <n v="1"/>
    <n v="38.799999999999997"/>
    <x v="1"/>
    <n v="5.3"/>
    <x v="0"/>
    <n v="5"/>
  </r>
  <r>
    <s v="Myers, Michael"/>
    <n v="10216"/>
    <n v="0"/>
    <n v="0"/>
    <n v="1"/>
    <n v="1"/>
    <n v="5"/>
    <n v="3"/>
    <n v="0"/>
    <n v="57575"/>
    <n v="0"/>
    <n v="19"/>
    <s v="Production Technician I"/>
    <s v="MA"/>
    <n v="1550"/>
    <d v="1993-04-18T00:00:00"/>
    <x v="0"/>
    <s v="Single"/>
    <s v="US Citizen"/>
    <s v="No"/>
    <s v="Asian"/>
    <d v="2021-07-08T00:00:00"/>
    <s v=""/>
    <s v="N/A-StillEmployed"/>
    <s v="Active"/>
    <x v="0"/>
    <s v="Kissy Sullivan"/>
    <n v="20"/>
    <x v="0"/>
    <x v="1"/>
    <n v="4.0999999999999996"/>
    <x v="2"/>
    <n v="0"/>
    <d v="2026-01-22T00:00:00"/>
    <n v="0"/>
    <n v="13"/>
    <n v="1"/>
    <n v="33.4"/>
    <x v="0"/>
    <n v="5.0999999999999996"/>
    <x v="0"/>
    <n v="5"/>
  </r>
  <r>
    <s v="Navathe, Kurt"/>
    <n v="10079"/>
    <n v="0"/>
    <n v="0"/>
    <n v="1"/>
    <n v="1"/>
    <n v="3"/>
    <n v="3"/>
    <n v="0"/>
    <n v="87921"/>
    <n v="0"/>
    <n v="22"/>
    <s v="Senior BI Developer"/>
    <s v="MA"/>
    <n v="2056"/>
    <d v="1983-04-25T00:00:00"/>
    <x v="0"/>
    <s v="Single"/>
    <s v="US Citizen"/>
    <s v="No"/>
    <s v="Asian"/>
    <d v="2025-02-10T00:00:00"/>
    <s v=""/>
    <s v="N/A-StillEmployed"/>
    <s v="Active"/>
    <x v="1"/>
    <s v="Brian Champaigne"/>
    <n v="13"/>
    <x v="1"/>
    <x v="1"/>
    <n v="5"/>
    <x v="1"/>
    <n v="6"/>
    <d v="2026-02-25T00:00:00"/>
    <n v="0"/>
    <n v="17"/>
    <n v="1"/>
    <n v="43.4"/>
    <x v="1"/>
    <n v="1.6"/>
    <x v="3"/>
    <n v="2"/>
  </r>
  <r>
    <s v="Ndzi, Colombui"/>
    <n v="10215"/>
    <n v="0"/>
    <n v="0"/>
    <n v="1"/>
    <n v="5"/>
    <n v="5"/>
    <n v="3"/>
    <n v="1"/>
    <n v="50470"/>
    <n v="1"/>
    <n v="19"/>
    <s v="Production Technician I"/>
    <s v="MA"/>
    <n v="2110"/>
    <d v="2002-05-02T00:00:00"/>
    <x v="0"/>
    <s v="Single"/>
    <s v="US Citizen"/>
    <s v="No"/>
    <s v="Black or African American"/>
    <d v="2019-09-26T00:00:00"/>
    <d v="2022-04-04T00:00:00"/>
    <s v="return to school"/>
    <s v="Voluntarily Terminated"/>
    <x v="0"/>
    <s v="Webster Butler"/>
    <n v="39"/>
    <x v="4"/>
    <x v="1"/>
    <n v="4.3"/>
    <x v="1"/>
    <n v="0"/>
    <d v="2020-03-02T00:00:00"/>
    <n v="0"/>
    <n v="19"/>
    <n v="0"/>
    <n v="24.3"/>
    <x v="2"/>
    <n v="6.8"/>
    <x v="0"/>
    <n v="5"/>
  </r>
  <r>
    <s v="Ndzi, Horia"/>
    <n v="10185"/>
    <n v="1"/>
    <n v="1"/>
    <n v="1"/>
    <n v="5"/>
    <n v="5"/>
    <n v="3"/>
    <n v="0"/>
    <n v="46664"/>
    <n v="1"/>
    <n v="19"/>
    <s v="Production Technician I"/>
    <s v="MA"/>
    <n v="2421"/>
    <d v="1996-03-28T00:00:00"/>
    <x v="0"/>
    <s v="Married"/>
    <s v="US Citizen"/>
    <s v="No"/>
    <s v="White"/>
    <d v="2021-04-01T00:00:00"/>
    <d v="2024-05-25T00:00:00"/>
    <s v="more money"/>
    <s v="Voluntarily Terminated"/>
    <x v="0"/>
    <s v="Amy Dunn"/>
    <n v="11"/>
    <x v="3"/>
    <x v="1"/>
    <n v="3.18"/>
    <x v="1"/>
    <n v="0"/>
    <d v="2023-03-06T00:00:00"/>
    <n v="0"/>
    <n v="10"/>
    <n v="0"/>
    <n v="30.5"/>
    <x v="0"/>
    <n v="5.4"/>
    <x v="0"/>
    <n v="5"/>
  </r>
  <r>
    <s v="Newman, Richard "/>
    <n v="10063"/>
    <n v="1"/>
    <n v="1"/>
    <n v="1"/>
    <n v="3"/>
    <n v="5"/>
    <n v="3"/>
    <n v="0"/>
    <n v="48495"/>
    <n v="0"/>
    <n v="19"/>
    <s v="Production Technician I"/>
    <s v="MA"/>
    <n v="2136"/>
    <d v="1990-04-08T00:00:00"/>
    <x v="0"/>
    <s v="Married"/>
    <s v="US Citizen"/>
    <s v="No"/>
    <s v="White"/>
    <d v="2022-05-12T00:00:00"/>
    <s v=""/>
    <s v="N/A-StillEmployed"/>
    <s v="Active"/>
    <x v="0"/>
    <s v="Ketsia Liebig"/>
    <n v="19"/>
    <x v="0"/>
    <x v="1"/>
    <n v="5"/>
    <x v="0"/>
    <n v="0"/>
    <d v="2026-02-18T00:00:00"/>
    <n v="0"/>
    <n v="11"/>
    <n v="1"/>
    <n v="36.4"/>
    <x v="1"/>
    <n v="4.3"/>
    <x v="1"/>
    <n v="4"/>
  </r>
  <r>
    <s v="Ngodup, Shari "/>
    <n v="10037"/>
    <n v="0"/>
    <n v="3"/>
    <n v="0"/>
    <n v="1"/>
    <n v="5"/>
    <n v="4"/>
    <n v="1"/>
    <n v="52984"/>
    <n v="0"/>
    <n v="19"/>
    <s v="Production Technician I"/>
    <s v="MA"/>
    <n v="1810"/>
    <d v="1980-06-03T00:00:00"/>
    <x v="1"/>
    <s v="Separated"/>
    <s v="US Citizen"/>
    <s v="No"/>
    <s v="Black or African American"/>
    <d v="2021-04-01T00:00:00"/>
    <s v=""/>
    <s v="N/A-StillEmployed"/>
    <s v="Active"/>
    <x v="0"/>
    <s v="Brannon Miller"/>
    <n v="12"/>
    <x v="4"/>
    <x v="0"/>
    <n v="4"/>
    <x v="1"/>
    <n v="0"/>
    <d v="2026-02-13T00:00:00"/>
    <n v="0"/>
    <n v="12"/>
    <n v="1"/>
    <n v="46.2"/>
    <x v="3"/>
    <n v="5.4"/>
    <x v="0"/>
    <n v="5"/>
  </r>
  <r>
    <s v="Nguyen, Dheepa"/>
    <n v="10042"/>
    <n v="0"/>
    <n v="0"/>
    <n v="0"/>
    <n v="1"/>
    <n v="6"/>
    <n v="3"/>
    <n v="0"/>
    <n v="63695"/>
    <n v="0"/>
    <n v="3"/>
    <s v="Area Sales Manager"/>
    <s v="GA"/>
    <n v="30428"/>
    <d v="2002-03-31T00:00:00"/>
    <x v="1"/>
    <s v="Single"/>
    <s v="US Citizen"/>
    <s v="No"/>
    <s v="Two or more races"/>
    <d v="2021-07-08T00:00:00"/>
    <s v=""/>
    <s v="N/A-StillEmployed"/>
    <s v="Active"/>
    <x v="4"/>
    <s v="Lynn Daneault"/>
    <n v="21"/>
    <x v="1"/>
    <x v="1"/>
    <n v="5"/>
    <x v="0"/>
    <n v="0"/>
    <d v="2026-01-25T00:00:00"/>
    <n v="0"/>
    <n v="2"/>
    <n v="1"/>
    <n v="24.5"/>
    <x v="2"/>
    <n v="5.0999999999999996"/>
    <x v="0"/>
    <n v="5"/>
  </r>
  <r>
    <s v="Nguyen, Lei-Ming"/>
    <n v="10206"/>
    <n v="0"/>
    <n v="0"/>
    <n v="0"/>
    <n v="1"/>
    <n v="5"/>
    <n v="3"/>
    <n v="0"/>
    <n v="62061"/>
    <n v="0"/>
    <n v="19"/>
    <s v="Production Technician I"/>
    <s v="MA"/>
    <n v="2132"/>
    <d v="1997-07-07T00:00:00"/>
    <x v="1"/>
    <s v="Single"/>
    <s v="US Citizen"/>
    <s v="No"/>
    <s v="White"/>
    <d v="2021-07-08T00:00:00"/>
    <s v=""/>
    <s v="N/A-StillEmployed"/>
    <s v="Active"/>
    <x v="0"/>
    <s v="David Stanley"/>
    <n v="14"/>
    <x v="0"/>
    <x v="1"/>
    <n v="3.6"/>
    <x v="0"/>
    <n v="0"/>
    <d v="2026-01-02T00:00:00"/>
    <n v="0"/>
    <n v="4"/>
    <n v="1"/>
    <n v="29.1"/>
    <x v="0"/>
    <n v="5.0999999999999996"/>
    <x v="0"/>
    <n v="5"/>
  </r>
  <r>
    <s v="Nowlan, Kristie"/>
    <n v="10104"/>
    <n v="0"/>
    <n v="0"/>
    <n v="0"/>
    <n v="1"/>
    <n v="5"/>
    <n v="3"/>
    <n v="0"/>
    <n v="66738"/>
    <n v="0"/>
    <n v="20"/>
    <s v="Production Technician II"/>
    <s v="MA"/>
    <n v="1040"/>
    <d v="1998-11-23T00:00:00"/>
    <x v="1"/>
    <s v="Single"/>
    <s v="US Citizen"/>
    <s v="No"/>
    <s v="White"/>
    <d v="2022-11-10T00:00:00"/>
    <s v=""/>
    <s v="N/A-StillEmployed"/>
    <s v="Active"/>
    <x v="0"/>
    <s v="Elijiah Gray"/>
    <n v="16"/>
    <x v="1"/>
    <x v="1"/>
    <n v="4.53"/>
    <x v="0"/>
    <n v="0"/>
    <d v="2026-01-16T00:00:00"/>
    <n v="0"/>
    <n v="5"/>
    <n v="1"/>
    <n v="27.8"/>
    <x v="0"/>
    <n v="3.8"/>
    <x v="1"/>
    <n v="4"/>
  </r>
  <r>
    <s v="O'hare, Lynn"/>
    <n v="10303"/>
    <n v="0"/>
    <n v="0"/>
    <n v="0"/>
    <n v="4"/>
    <n v="5"/>
    <n v="1"/>
    <n v="0"/>
    <n v="52674"/>
    <n v="1"/>
    <n v="19"/>
    <s v="Production Technician I"/>
    <s v="MA"/>
    <n v="2152"/>
    <d v="1993-09-30T00:00:00"/>
    <x v="1"/>
    <s v="Single"/>
    <s v="US Citizen"/>
    <s v="No"/>
    <s v="Two or more races"/>
    <d v="2022-03-31T00:00:00"/>
    <d v="2026-05-01T00:00:00"/>
    <s v="performance"/>
    <s v="Terminated for Cause"/>
    <x v="0"/>
    <s v="Kissy Sullivan"/>
    <n v="20"/>
    <x v="0"/>
    <x v="3"/>
    <n v="2.33"/>
    <x v="3"/>
    <n v="0"/>
    <d v="2025-03-09T00:00:00"/>
    <n v="6"/>
    <n v="3"/>
    <n v="0"/>
    <n v="32.799999999999997"/>
    <x v="0"/>
    <n v="4.5"/>
    <x v="1"/>
    <n v="4"/>
  </r>
  <r>
    <s v="Oliver, Brooke "/>
    <n v="10078"/>
    <n v="1"/>
    <n v="1"/>
    <n v="0"/>
    <n v="5"/>
    <n v="5"/>
    <n v="3"/>
    <n v="0"/>
    <n v="71966"/>
    <n v="1"/>
    <n v="20"/>
    <s v="Production Technician II"/>
    <s v="MA"/>
    <n v="2492"/>
    <d v="1965-02-11T00:00:00"/>
    <x v="1"/>
    <s v="Married"/>
    <s v="US Citizen"/>
    <s v="No"/>
    <s v="Asian"/>
    <d v="2020-05-14T00:00:00"/>
    <d v="2021-08-19T00:00:00"/>
    <s v="unhappy"/>
    <s v="Voluntarily Terminated"/>
    <x v="0"/>
    <s v="Webster Butler"/>
    <n v="39"/>
    <x v="0"/>
    <x v="1"/>
    <n v="5"/>
    <x v="1"/>
    <n v="0"/>
    <d v="2020-07-02T00:00:00"/>
    <n v="0"/>
    <n v="17"/>
    <n v="0"/>
    <n v="61.6"/>
    <x v="4"/>
    <n v="6.3"/>
    <x v="0"/>
    <n v="5"/>
  </r>
  <r>
    <s v="Onque, Jasmine"/>
    <n v="10121"/>
    <n v="0"/>
    <n v="0"/>
    <n v="0"/>
    <n v="1"/>
    <n v="6"/>
    <n v="3"/>
    <n v="0"/>
    <n v="63051"/>
    <n v="0"/>
    <n v="3"/>
    <s v="Area Sales Manager"/>
    <s v="FL"/>
    <n v="33174"/>
    <d v="2003-05-11T00:00:00"/>
    <x v="1"/>
    <s v="Single"/>
    <s v="US Citizen"/>
    <s v="Yes"/>
    <s v="White"/>
    <d v="2021-09-30T00:00:00"/>
    <s v=""/>
    <s v="N/A-StillEmployed"/>
    <s v="Active"/>
    <x v="4"/>
    <s v="Lynn Daneault"/>
    <n v="21"/>
    <x v="1"/>
    <x v="1"/>
    <n v="4.28"/>
    <x v="1"/>
    <n v="0"/>
    <d v="2026-01-25T00:00:00"/>
    <n v="0"/>
    <n v="1"/>
    <n v="1"/>
    <n v="23.3"/>
    <x v="2"/>
    <n v="4.8"/>
    <x v="1"/>
    <n v="4"/>
  </r>
  <r>
    <s v="Osturnka, Adeel"/>
    <n v="10021"/>
    <n v="1"/>
    <n v="1"/>
    <n v="1"/>
    <n v="1"/>
    <n v="5"/>
    <n v="4"/>
    <n v="0"/>
    <n v="47414"/>
    <n v="0"/>
    <n v="19"/>
    <s v="Production Technician I"/>
    <s v="MA"/>
    <n v="2478"/>
    <d v="1989-12-11T00:00:00"/>
    <x v="0"/>
    <s v="Married"/>
    <s v="US Citizen"/>
    <s v="No"/>
    <s v="White"/>
    <d v="2021-09-30T00:00:00"/>
    <s v=""/>
    <s v="N/A-StillEmployed"/>
    <s v="Active"/>
    <x v="0"/>
    <s v="Kelley Spirea"/>
    <n v="18"/>
    <x v="0"/>
    <x v="0"/>
    <n v="5"/>
    <x v="1"/>
    <n v="0"/>
    <d v="2026-02-07T00:00:00"/>
    <n v="0"/>
    <n v="13"/>
    <n v="1"/>
    <n v="36.799999999999997"/>
    <x v="1"/>
    <n v="4.8"/>
    <x v="1"/>
    <n v="4"/>
  </r>
  <r>
    <s v="Owad, Clinton"/>
    <n v="10281"/>
    <n v="0"/>
    <n v="0"/>
    <n v="1"/>
    <n v="1"/>
    <n v="5"/>
    <n v="2"/>
    <n v="0"/>
    <n v="53060"/>
    <n v="0"/>
    <n v="19"/>
    <s v="Production Technician I"/>
    <s v="MA"/>
    <n v="1760"/>
    <d v="1992-11-24T00:00:00"/>
    <x v="0"/>
    <s v="Single"/>
    <s v="US Citizen"/>
    <s v="No"/>
    <s v="Black or African American"/>
    <d v="2022-02-17T00:00:00"/>
    <s v=""/>
    <s v="N/A-StillEmployed"/>
    <s v="Active"/>
    <x v="0"/>
    <s v="Michael Albert"/>
    <n v="22"/>
    <x v="0"/>
    <x v="2"/>
    <n v="4.25"/>
    <x v="1"/>
    <n v="0"/>
    <d v="2026-02-04T00:00:00"/>
    <n v="4"/>
    <n v="6"/>
    <n v="1"/>
    <n v="33.799999999999997"/>
    <x v="0"/>
    <n v="4.5999999999999996"/>
    <x v="1"/>
    <n v="4"/>
  </r>
  <r>
    <s v="Ozark, Travis"/>
    <n v="10041"/>
    <n v="0"/>
    <n v="0"/>
    <n v="1"/>
    <n v="1"/>
    <n v="6"/>
    <n v="3"/>
    <n v="0"/>
    <n v="68829"/>
    <n v="0"/>
    <n v="3"/>
    <s v="Area Sales Manager"/>
    <s v="NC"/>
    <n v="27229"/>
    <d v="1995-05-19T00:00:00"/>
    <x v="0"/>
    <s v="Single"/>
    <s v="US Citizen"/>
    <s v="No"/>
    <s v="White"/>
    <d v="2023-01-05T00:00:00"/>
    <s v=""/>
    <s v="N/A-StillEmployed"/>
    <s v="Active"/>
    <x v="4"/>
    <s v="John Smith"/>
    <n v="17"/>
    <x v="7"/>
    <x v="1"/>
    <n v="5"/>
    <x v="0"/>
    <n v="0"/>
    <d v="2026-01-14T00:00:00"/>
    <n v="0"/>
    <n v="18"/>
    <n v="1"/>
    <n v="31.3"/>
    <x v="0"/>
    <n v="3.7"/>
    <x v="1"/>
    <n v="4"/>
  </r>
  <r>
    <s v="Panjwani, Nina"/>
    <n v="10148"/>
    <n v="1"/>
    <n v="1"/>
    <n v="0"/>
    <n v="5"/>
    <n v="5"/>
    <n v="3"/>
    <n v="0"/>
    <n v="63515"/>
    <n v="1"/>
    <n v="19"/>
    <s v="Production Technician I"/>
    <s v="MA"/>
    <n v="2351"/>
    <d v="1992-05-01T00:00:00"/>
    <x v="1"/>
    <s v="Married"/>
    <s v="US Citizen"/>
    <s v="No"/>
    <s v="White"/>
    <d v="2019-02-07T00:00:00"/>
    <d v="2022-01-12T00:00:00"/>
    <s v="Another position"/>
    <s v="Voluntarily Terminated"/>
    <x v="0"/>
    <s v="Elijiah Gray"/>
    <n v="16"/>
    <x v="2"/>
    <x v="1"/>
    <n v="3.89"/>
    <x v="2"/>
    <n v="0"/>
    <d v="2020-03-04T00:00:00"/>
    <n v="0"/>
    <n v="7"/>
    <n v="0"/>
    <n v="34.299999999999997"/>
    <x v="0"/>
    <n v="7.6"/>
    <x v="0"/>
    <n v="5"/>
  </r>
  <r>
    <s v="Patronick, Lucas"/>
    <n v="10005"/>
    <n v="0"/>
    <n v="0"/>
    <n v="1"/>
    <n v="5"/>
    <n v="4"/>
    <n v="4"/>
    <n v="1"/>
    <n v="108987"/>
    <n v="1"/>
    <n v="24"/>
    <s v="Software Engineer"/>
    <s v="MA"/>
    <n v="1844"/>
    <d v="1992-02-20T00:00:00"/>
    <x v="0"/>
    <s v="Single"/>
    <s v="US Citizen"/>
    <s v="No"/>
    <s v="Black or African American"/>
    <d v="2019-11-07T00:00:00"/>
    <d v="2023-09-07T00:00:00"/>
    <s v="Another position"/>
    <s v="Voluntarily Terminated"/>
    <x v="2"/>
    <s v="Alex Sweetwater"/>
    <n v="10"/>
    <x v="4"/>
    <x v="0"/>
    <n v="5"/>
    <x v="0"/>
    <n v="3"/>
    <d v="2022-08-16T00:00:00"/>
    <n v="0"/>
    <n v="13"/>
    <n v="0"/>
    <n v="34.6"/>
    <x v="0"/>
    <n v="6.8"/>
    <x v="0"/>
    <n v="5"/>
  </r>
  <r>
    <s v="Pearson, Randall"/>
    <n v="10259"/>
    <n v="1"/>
    <n v="1"/>
    <n v="1"/>
    <n v="5"/>
    <n v="3"/>
    <n v="3"/>
    <n v="0"/>
    <n v="93093"/>
    <n v="1"/>
    <n v="9"/>
    <s v="Data Analyst"/>
    <s v="MA"/>
    <n v="2747"/>
    <d v="1997-09-05T00:00:00"/>
    <x v="0"/>
    <s v="Married"/>
    <s v="US Citizen"/>
    <s v="No"/>
    <s v="White"/>
    <d v="2022-12-01T00:00:00"/>
    <d v="2024-05-01T00:00:00"/>
    <s v="performance"/>
    <s v="Voluntarily Terminated"/>
    <x v="1"/>
    <s v="Simon Roup"/>
    <n v="4"/>
    <x v="3"/>
    <x v="1"/>
    <n v="4.7"/>
    <x v="2"/>
    <n v="5"/>
    <d v="2023-01-16T00:00:00"/>
    <n v="0"/>
    <n v="19"/>
    <n v="0"/>
    <n v="28.8"/>
    <x v="0"/>
    <n v="3.8"/>
    <x v="1"/>
    <n v="4"/>
  </r>
  <r>
    <s v="Smith, Martin"/>
    <n v="10286"/>
    <n v="0"/>
    <n v="0"/>
    <n v="1"/>
    <n v="5"/>
    <n v="5"/>
    <n v="2"/>
    <n v="0"/>
    <n v="53564"/>
    <n v="1"/>
    <n v="19"/>
    <s v="Production Technician I"/>
    <s v="MA"/>
    <n v="2458"/>
    <d v="2001-03-17T00:00:00"/>
    <x v="0"/>
    <s v="Single"/>
    <s v="US Citizen"/>
    <s v="No"/>
    <s v="Black or African American"/>
    <d v="2019-01-10T00:00:00"/>
    <d v="2025-12-28T00:00:00"/>
    <s v="career change"/>
    <s v="Voluntarily Terminated"/>
    <x v="0"/>
    <s v="Webster Butler"/>
    <n v="39"/>
    <x v="2"/>
    <x v="2"/>
    <n v="3.54"/>
    <x v="0"/>
    <n v="0"/>
    <d v="2024-04-06T00:00:00"/>
    <n v="4"/>
    <n v="15"/>
    <n v="0"/>
    <n v="25.5"/>
    <x v="0"/>
    <n v="7.7"/>
    <x v="0"/>
    <n v="5"/>
  </r>
  <r>
    <s v="Pelletier, Ermine"/>
    <n v="10297"/>
    <n v="1"/>
    <n v="1"/>
    <n v="0"/>
    <n v="5"/>
    <n v="5"/>
    <n v="2"/>
    <n v="0"/>
    <n v="60270"/>
    <n v="1"/>
    <n v="20"/>
    <s v="Production Technician II"/>
    <s v="MA"/>
    <n v="2472"/>
    <d v="2002-07-18T00:00:00"/>
    <x v="1"/>
    <s v="Married"/>
    <s v="US Citizen"/>
    <s v="No"/>
    <s v="Asian"/>
    <d v="2019-07-05T00:00:00"/>
    <d v="2023-09-15T00:00:00"/>
    <s v="unhappy"/>
    <s v="Voluntarily Terminated"/>
    <x v="0"/>
    <s v="Amy Dunn"/>
    <n v="11"/>
    <x v="6"/>
    <x v="2"/>
    <n v="2.4"/>
    <x v="0"/>
    <n v="0"/>
    <d v="2022-02-06T00:00:00"/>
    <n v="5"/>
    <n v="2"/>
    <n v="0"/>
    <n v="24.1"/>
    <x v="2"/>
    <n v="7.1"/>
    <x v="0"/>
    <n v="5"/>
  </r>
  <r>
    <s v="Perry, Shakira"/>
    <n v="10171"/>
    <n v="0"/>
    <n v="0"/>
    <n v="0"/>
    <n v="5"/>
    <n v="5"/>
    <n v="3"/>
    <n v="0"/>
    <n v="45998"/>
    <n v="1"/>
    <n v="19"/>
    <s v="Production Technician I"/>
    <s v="MA"/>
    <n v="2176"/>
    <d v="1999-07-20T00:00:00"/>
    <x v="1"/>
    <s v="Single"/>
    <s v="US Citizen"/>
    <s v="No"/>
    <s v="White"/>
    <d v="2019-05-16T00:00:00"/>
    <d v="2023-10-25T00:00:00"/>
    <s v="medical issues"/>
    <s v="Voluntarily Terminated"/>
    <x v="0"/>
    <s v="Amy Dunn"/>
    <n v="11"/>
    <x v="0"/>
    <x v="1"/>
    <n v="3.45"/>
    <x v="2"/>
    <n v="0"/>
    <d v="2021-05-13T00:00:00"/>
    <n v="0"/>
    <n v="5"/>
    <n v="0"/>
    <n v="27.1"/>
    <x v="0"/>
    <n v="7.3"/>
    <x v="0"/>
    <n v="5"/>
  </r>
  <r>
    <s v="Peters, Lauren"/>
    <n v="10032"/>
    <n v="1"/>
    <n v="1"/>
    <n v="0"/>
    <n v="5"/>
    <n v="5"/>
    <n v="4"/>
    <n v="0"/>
    <n v="57954"/>
    <n v="1"/>
    <n v="20"/>
    <s v="Production Technician II"/>
    <s v="MA"/>
    <n v="1886"/>
    <d v="1999-08-17T00:00:00"/>
    <x v="1"/>
    <s v="Married"/>
    <s v="US Citizen"/>
    <s v="No"/>
    <s v="White"/>
    <d v="2019-05-16T00:00:00"/>
    <d v="2021-02-04T00:00:00"/>
    <s v="more money"/>
    <s v="Voluntarily Terminated"/>
    <x v="0"/>
    <s v="Ketsia Liebig"/>
    <n v="19"/>
    <x v="1"/>
    <x v="0"/>
    <n v="4.2"/>
    <x v="0"/>
    <n v="0"/>
    <d v="2020-01-10T00:00:00"/>
    <n v="0"/>
    <n v="12"/>
    <n v="0"/>
    <n v="27"/>
    <x v="0"/>
    <n v="7.3"/>
    <x v="0"/>
    <n v="5"/>
  </r>
  <r>
    <s v="Peterson, Ebonee  "/>
    <n v="10130"/>
    <n v="1"/>
    <n v="1"/>
    <n v="0"/>
    <n v="5"/>
    <n v="5"/>
    <n v="3"/>
    <n v="0"/>
    <n v="74669"/>
    <n v="1"/>
    <n v="18"/>
    <s v="Production Manager"/>
    <s v="MA"/>
    <n v="2030"/>
    <d v="1990-05-09T00:00:00"/>
    <x v="1"/>
    <s v="Married"/>
    <s v="US Citizen"/>
    <s v="No"/>
    <s v="White"/>
    <d v="2018-10-25T00:00:00"/>
    <d v="2024-05-18T00:00:00"/>
    <s v="Another position"/>
    <s v="Voluntarily Terminated"/>
    <x v="0"/>
    <s v="Janet King"/>
    <n v="2"/>
    <x v="1"/>
    <x v="1"/>
    <n v="4.16"/>
    <x v="0"/>
    <n v="0"/>
    <d v="2022-03-05T00:00:00"/>
    <n v="0"/>
    <n v="6"/>
    <n v="0"/>
    <n v="36.299999999999997"/>
    <x v="1"/>
    <n v="7.8"/>
    <x v="0"/>
    <n v="5"/>
  </r>
  <r>
    <s v="Petingill, Shana  "/>
    <n v="10217"/>
    <n v="1"/>
    <n v="1"/>
    <n v="0"/>
    <n v="1"/>
    <n v="5"/>
    <n v="3"/>
    <n v="0"/>
    <n v="74226"/>
    <n v="0"/>
    <n v="20"/>
    <s v="Production Technician II"/>
    <s v="MA"/>
    <n v="2050"/>
    <d v="1992-03-10T00:00:00"/>
    <x v="1"/>
    <s v="Married"/>
    <s v="Eligible NonCitizen"/>
    <s v="No"/>
    <s v="Asian"/>
    <d v="2020-04-02T00:00:00"/>
    <s v=""/>
    <s v="N/A-StillEmployed"/>
    <s v="Active"/>
    <x v="0"/>
    <s v="Brannon Miller"/>
    <n v="12"/>
    <x v="0"/>
    <x v="1"/>
    <n v="4.3"/>
    <x v="1"/>
    <n v="0"/>
    <d v="2026-01-14T00:00:00"/>
    <n v="0"/>
    <n v="14"/>
    <n v="1"/>
    <n v="34.5"/>
    <x v="0"/>
    <n v="6.4"/>
    <x v="0"/>
    <n v="5"/>
  </r>
  <r>
    <s v="Petrowsky, Thelma"/>
    <n v="10016"/>
    <n v="1"/>
    <n v="1"/>
    <n v="0"/>
    <n v="1"/>
    <n v="3"/>
    <n v="4"/>
    <n v="0"/>
    <n v="93554"/>
    <n v="0"/>
    <n v="9"/>
    <s v="Data Analyst"/>
    <s v="MA"/>
    <n v="1886"/>
    <d v="1997-09-16T00:00:00"/>
    <x v="1"/>
    <s v="Married"/>
    <s v="US Citizen"/>
    <s v="No"/>
    <s v="Black or African American"/>
    <d v="2022-11-10T00:00:00"/>
    <s v=""/>
    <s v="N/A-StillEmployed"/>
    <s v="Active"/>
    <x v="1"/>
    <s v="Simon Roup"/>
    <n v="4"/>
    <x v="3"/>
    <x v="0"/>
    <n v="4.5999999999999996"/>
    <x v="0"/>
    <n v="7"/>
    <d v="2026-01-04T00:00:00"/>
    <n v="0"/>
    <n v="16"/>
    <n v="1"/>
    <n v="28.8"/>
    <x v="0"/>
    <n v="3.8"/>
    <x v="1"/>
    <n v="4"/>
  </r>
  <r>
    <s v="Pham, Hong"/>
    <n v="10050"/>
    <n v="1"/>
    <n v="1"/>
    <n v="1"/>
    <n v="5"/>
    <n v="5"/>
    <n v="3"/>
    <n v="0"/>
    <n v="64724"/>
    <n v="1"/>
    <n v="19"/>
    <s v="Production Technician I"/>
    <s v="MA"/>
    <n v="2451"/>
    <d v="2001-03-06T00:00:00"/>
    <x v="0"/>
    <s v="Married"/>
    <s v="US Citizen"/>
    <s v="No"/>
    <s v="Asian"/>
    <d v="2019-07-05T00:00:00"/>
    <d v="2020-11-30T00:00:00"/>
    <s v="more money"/>
    <s v="Voluntarily Terminated"/>
    <x v="0"/>
    <s v="Brannon Miller"/>
    <n v="12"/>
    <x v="2"/>
    <x v="1"/>
    <n v="5"/>
    <x v="1"/>
    <n v="0"/>
    <d v="2019-02-20T00:00:00"/>
    <n v="0"/>
    <n v="13"/>
    <n v="0"/>
    <n v="25.5"/>
    <x v="0"/>
    <n v="7.1"/>
    <x v="0"/>
    <n v="5"/>
  </r>
  <r>
    <s v="Pitt, Brad "/>
    <n v="10164"/>
    <n v="0"/>
    <n v="0"/>
    <n v="1"/>
    <n v="1"/>
    <n v="5"/>
    <n v="3"/>
    <n v="0"/>
    <n v="47001"/>
    <n v="0"/>
    <n v="19"/>
    <s v="Production Technician I"/>
    <s v="MA"/>
    <n v="2451"/>
    <d v="1994-11-23T00:00:00"/>
    <x v="0"/>
    <s v="Single"/>
    <s v="US Citizen"/>
    <s v="No"/>
    <s v="White"/>
    <d v="2015-11-05T00:00:00"/>
    <s v=""/>
    <s v="N/A-StillEmployed"/>
    <s v="Active"/>
    <x v="0"/>
    <s v="David Stanley"/>
    <n v="14"/>
    <x v="2"/>
    <x v="1"/>
    <n v="3.66"/>
    <x v="1"/>
    <n v="0"/>
    <d v="2026-02-25T00:00:00"/>
    <n v="0"/>
    <n v="15"/>
    <n v="1"/>
    <n v="31.8"/>
    <x v="0"/>
    <n v="10.8"/>
    <x v="0"/>
    <n v="5"/>
  </r>
  <r>
    <s v="Potts, Xana"/>
    <n v="10124"/>
    <n v="1"/>
    <n v="1"/>
    <n v="0"/>
    <n v="1"/>
    <n v="6"/>
    <n v="3"/>
    <n v="0"/>
    <n v="61844"/>
    <n v="0"/>
    <n v="3"/>
    <s v="Area Sales Manager"/>
    <s v="KY"/>
    <n v="40220"/>
    <d v="2001-08-29T00:00:00"/>
    <x v="1"/>
    <s v="Married"/>
    <s v="US Citizen"/>
    <s v="No"/>
    <s v="Black or African American"/>
    <d v="2020-01-09T00:00:00"/>
    <s v=""/>
    <s v="N/A-StillEmployed"/>
    <s v="Active"/>
    <x v="4"/>
    <s v="Lynn Daneault"/>
    <n v="21"/>
    <x v="7"/>
    <x v="1"/>
    <n v="4.2"/>
    <x v="0"/>
    <n v="0"/>
    <d v="2026-02-01T00:00:00"/>
    <n v="0"/>
    <n v="9"/>
    <n v="1"/>
    <n v="25"/>
    <x v="0"/>
    <n v="6.7"/>
    <x v="0"/>
    <n v="5"/>
  </r>
  <r>
    <s v="Power, Morissa"/>
    <n v="10187"/>
    <n v="0"/>
    <n v="2"/>
    <n v="0"/>
    <n v="5"/>
    <n v="5"/>
    <n v="3"/>
    <n v="0"/>
    <n v="46799"/>
    <n v="1"/>
    <n v="19"/>
    <s v="Production Technician I"/>
    <s v="MA"/>
    <n v="1742"/>
    <d v="1997-10-15T00:00:00"/>
    <x v="1"/>
    <s v="Divorced"/>
    <s v="Eligible NonCitizen"/>
    <s v="No"/>
    <s v="Asian"/>
    <d v="2019-05-16T00:00:00"/>
    <d v="2026-06-04T00:00:00"/>
    <s v="Another position"/>
    <s v="Voluntarily Terminated"/>
    <x v="0"/>
    <s v="Kissy Sullivan"/>
    <n v="20"/>
    <x v="2"/>
    <x v="1"/>
    <n v="3.17"/>
    <x v="2"/>
    <n v="0"/>
    <d v="2025-04-02T00:00:00"/>
    <n v="0"/>
    <n v="14"/>
    <n v="0"/>
    <n v="28.8"/>
    <x v="0"/>
    <n v="7.3"/>
    <x v="0"/>
    <n v="5"/>
  </r>
  <r>
    <s v="Punjabhi, Louis  "/>
    <n v="10225"/>
    <n v="0"/>
    <n v="0"/>
    <n v="1"/>
    <n v="1"/>
    <n v="5"/>
    <n v="3"/>
    <n v="0"/>
    <n v="59472"/>
    <n v="0"/>
    <n v="19"/>
    <s v="Production Technician I"/>
    <s v="MA"/>
    <n v="2109"/>
    <d v="1974-06-19T00:00:00"/>
    <x v="0"/>
    <s v="Single"/>
    <s v="US Citizen"/>
    <s v="No"/>
    <s v="White"/>
    <d v="2022-01-06T00:00:00"/>
    <s v=""/>
    <s v="N/A-StillEmployed"/>
    <s v="Active"/>
    <x v="0"/>
    <s v="Kelley Spirea"/>
    <n v="18"/>
    <x v="3"/>
    <x v="1"/>
    <n v="4.8"/>
    <x v="1"/>
    <n v="0"/>
    <d v="2026-01-07T00:00:00"/>
    <n v="0"/>
    <n v="14"/>
    <n v="1"/>
    <n v="52.2"/>
    <x v="3"/>
    <n v="4.7"/>
    <x v="1"/>
    <n v="4"/>
  </r>
  <r>
    <s v="Purinton, Janine"/>
    <n v="10262"/>
    <n v="0"/>
    <n v="2"/>
    <n v="0"/>
    <n v="5"/>
    <n v="5"/>
    <n v="3"/>
    <n v="0"/>
    <n v="46430"/>
    <n v="1"/>
    <n v="19"/>
    <s v="Production Technician I"/>
    <s v="MA"/>
    <n v="2474"/>
    <d v="1983-09-22T00:00:00"/>
    <x v="1"/>
    <s v="Divorced"/>
    <s v="US Citizen"/>
    <s v="No"/>
    <s v="White"/>
    <d v="2020-09-24T00:00:00"/>
    <d v="2021-06-18T00:00:00"/>
    <s v="unhappy"/>
    <s v="Voluntarily Terminated"/>
    <x v="0"/>
    <s v="Kissy Sullivan"/>
    <n v="20"/>
    <x v="1"/>
    <x v="1"/>
    <n v="4.5"/>
    <x v="0"/>
    <n v="0"/>
    <d v="2020-04-02T00:00:00"/>
    <n v="0"/>
    <n v="16"/>
    <n v="0"/>
    <n v="42.8"/>
    <x v="1"/>
    <n v="5.8"/>
    <x v="0"/>
    <n v="5"/>
  </r>
  <r>
    <s v="Quinn, Sean"/>
    <n v="10131"/>
    <n v="1"/>
    <n v="1"/>
    <n v="1"/>
    <n v="5"/>
    <n v="1"/>
    <n v="3"/>
    <n v="1"/>
    <n v="83363"/>
    <n v="1"/>
    <n v="23"/>
    <s v="Software Engineer"/>
    <s v="MA"/>
    <n v="2045"/>
    <d v="1997-11-06T00:00:00"/>
    <x v="0"/>
    <s v="Married"/>
    <s v="Eligible NonCitizen"/>
    <s v="No"/>
    <s v="Black or African American"/>
    <d v="2019-02-21T00:00:00"/>
    <d v="2023-08-15T00:00:00"/>
    <s v="career change"/>
    <s v="Voluntarily Terminated"/>
    <x v="2"/>
    <s v="Janet King"/>
    <n v="2"/>
    <x v="4"/>
    <x v="1"/>
    <n v="4.1500000000000004"/>
    <x v="2"/>
    <n v="0"/>
    <d v="2021-04-19T00:00:00"/>
    <n v="0"/>
    <n v="4"/>
    <n v="0"/>
    <n v="28.8"/>
    <x v="0"/>
    <n v="7.6"/>
    <x v="0"/>
    <n v="5"/>
  </r>
  <r>
    <s v="Rachael, Maggie"/>
    <n v="10239"/>
    <n v="1"/>
    <n v="1"/>
    <n v="0"/>
    <n v="1"/>
    <n v="3"/>
    <n v="3"/>
    <n v="0"/>
    <n v="95920"/>
    <n v="0"/>
    <n v="4"/>
    <s v="BI Developer"/>
    <s v="MA"/>
    <n v="2110"/>
    <d v="1993-05-12T00:00:00"/>
    <x v="1"/>
    <s v="Married"/>
    <s v="US Citizen"/>
    <s v="No"/>
    <s v="Black or African American"/>
    <d v="2024-10-02T00:00:00"/>
    <s v=""/>
    <s v="N/A-StillEmployed"/>
    <s v="Active"/>
    <x v="1"/>
    <s v="Brian Champaigne"/>
    <n v="13"/>
    <x v="1"/>
    <x v="1"/>
    <n v="4.4000000000000004"/>
    <x v="2"/>
    <n v="6"/>
    <d v="2026-02-06T00:00:00"/>
    <n v="0"/>
    <n v="10"/>
    <n v="1"/>
    <n v="33.299999999999997"/>
    <x v="0"/>
    <n v="1.8"/>
    <x v="3"/>
    <n v="2"/>
  </r>
  <r>
    <s v="Rarrick, Quinn"/>
    <n v="10152"/>
    <n v="0"/>
    <n v="2"/>
    <n v="1"/>
    <n v="5"/>
    <n v="5"/>
    <n v="3"/>
    <n v="0"/>
    <n v="61729"/>
    <n v="1"/>
    <n v="19"/>
    <s v="Production Technician I"/>
    <s v="MA"/>
    <n v="2478"/>
    <d v="1997-12-31T00:00:00"/>
    <x v="0"/>
    <s v="Divorced"/>
    <s v="US Citizen"/>
    <s v="No"/>
    <s v="White"/>
    <d v="2019-09-26T00:00:00"/>
    <d v="2026-04-07T00:00:00"/>
    <s v="more money"/>
    <s v="Voluntarily Terminated"/>
    <x v="0"/>
    <s v="Michael Albert"/>
    <n v="22"/>
    <x v="1"/>
    <x v="1"/>
    <n v="3.8"/>
    <x v="0"/>
    <n v="0"/>
    <d v="2025-02-04T00:00:00"/>
    <n v="0"/>
    <n v="19"/>
    <n v="0"/>
    <n v="28.8"/>
    <x v="0"/>
    <n v="6.8"/>
    <x v="0"/>
    <n v="5"/>
  </r>
  <r>
    <s v="Ren, Kylo"/>
    <n v="10140"/>
    <n v="1"/>
    <n v="1"/>
    <n v="1"/>
    <n v="1"/>
    <n v="6"/>
    <n v="3"/>
    <n v="0"/>
    <n v="61809"/>
    <n v="0"/>
    <n v="3"/>
    <s v="Area Sales Manager"/>
    <s v="ID"/>
    <n v="83706"/>
    <d v="1967-10-12T00:00:00"/>
    <x v="0"/>
    <s v="Married"/>
    <s v="US Citizen"/>
    <s v="No"/>
    <s v="White"/>
    <d v="2022-05-12T00:00:00"/>
    <s v=""/>
    <s v="N/A-StillEmployed"/>
    <s v="Active"/>
    <x v="4"/>
    <s v="John Smith"/>
    <n v="17"/>
    <x v="6"/>
    <x v="1"/>
    <n v="3.98"/>
    <x v="1"/>
    <n v="0"/>
    <d v="2026-01-28T00:00:00"/>
    <n v="0"/>
    <n v="4"/>
    <n v="1"/>
    <n v="58.8"/>
    <x v="4"/>
    <n v="4.3"/>
    <x v="1"/>
    <n v="4"/>
  </r>
  <r>
    <s v="Rhoads, Thomas"/>
    <n v="10058"/>
    <n v="0"/>
    <n v="2"/>
    <n v="1"/>
    <n v="5"/>
    <n v="5"/>
    <n v="3"/>
    <n v="0"/>
    <n v="45115"/>
    <n v="1"/>
    <n v="19"/>
    <s v="Production Technician I"/>
    <s v="MA"/>
    <n v="2176"/>
    <d v="1995-07-22T00:00:00"/>
    <x v="0"/>
    <s v="Divorced"/>
    <s v="US Citizen"/>
    <s v="Yes"/>
    <s v="White"/>
    <d v="2019-05-16T00:00:00"/>
    <d v="2024-01-15T00:00:00"/>
    <s v="retiring"/>
    <s v="Voluntarily Terminated"/>
    <x v="0"/>
    <s v="Elijiah Gray"/>
    <n v="16"/>
    <x v="0"/>
    <x v="1"/>
    <n v="5"/>
    <x v="2"/>
    <n v="0"/>
    <d v="2022-03-30T00:00:00"/>
    <n v="0"/>
    <n v="11"/>
    <n v="0"/>
    <n v="31.1"/>
    <x v="0"/>
    <n v="7.3"/>
    <x v="0"/>
    <n v="5"/>
  </r>
  <r>
    <s v="Rivera, Haley  "/>
    <n v="10011"/>
    <n v="1"/>
    <n v="1"/>
    <n v="0"/>
    <n v="1"/>
    <n v="5"/>
    <n v="4"/>
    <n v="0"/>
    <n v="46738"/>
    <n v="0"/>
    <n v="19"/>
    <s v="Production Technician I"/>
    <s v="MA"/>
    <n v="2171"/>
    <d v="1986-01-12T00:00:00"/>
    <x v="1"/>
    <s v="Married"/>
    <s v="US Citizen"/>
    <s v="No"/>
    <s v="Asian"/>
    <d v="2019-11-28T00:00:00"/>
    <s v=""/>
    <s v="N/A-StillEmployed"/>
    <s v="Active"/>
    <x v="0"/>
    <s v="Webster Butler"/>
    <m/>
    <x v="2"/>
    <x v="0"/>
    <n v="4.3600000000000003"/>
    <x v="0"/>
    <n v="0"/>
    <d v="2026-02-11T00:00:00"/>
    <n v="0"/>
    <n v="16"/>
    <n v="1"/>
    <n v="40.700000000000003"/>
    <x v="1"/>
    <n v="6.8"/>
    <x v="0"/>
    <n v="5"/>
  </r>
  <r>
    <s v="Roberson, May"/>
    <n v="10230"/>
    <n v="0"/>
    <n v="2"/>
    <n v="0"/>
    <n v="5"/>
    <n v="5"/>
    <n v="3"/>
    <n v="0"/>
    <n v="64971"/>
    <n v="1"/>
    <n v="20"/>
    <s v="Production Technician II"/>
    <s v="MA"/>
    <n v="1902"/>
    <d v="1994-09-05T00:00:00"/>
    <x v="1"/>
    <s v="Divorced"/>
    <s v="Eligible NonCitizen"/>
    <s v="No"/>
    <s v="Black or African American"/>
    <d v="2019-09-26T00:00:00"/>
    <d v="2019-10-22T00:00:00"/>
    <s v="return to school"/>
    <s v="Voluntarily Terminated"/>
    <x v="0"/>
    <s v="David Stanley"/>
    <n v="14"/>
    <x v="2"/>
    <x v="1"/>
    <n v="4.5"/>
    <x v="2"/>
    <n v="0"/>
    <d v="2018-10-22T00:00:00"/>
    <n v="0"/>
    <n v="10"/>
    <n v="0"/>
    <n v="31.8"/>
    <x v="0"/>
    <n v="6.8"/>
    <x v="0"/>
    <n v="5"/>
  </r>
  <r>
    <s v="Robertson, Peter"/>
    <n v="10224"/>
    <n v="1"/>
    <n v="1"/>
    <n v="1"/>
    <n v="5"/>
    <n v="5"/>
    <n v="3"/>
    <n v="0"/>
    <n v="55578"/>
    <n v="1"/>
    <n v="20"/>
    <s v="Production Technician II"/>
    <s v="MA"/>
    <n v="2138"/>
    <d v="1985-07-03T00:00:00"/>
    <x v="0"/>
    <s v="Married"/>
    <s v="US Citizen"/>
    <s v="No"/>
    <s v="White"/>
    <d v="2019-07-05T00:00:00"/>
    <d v="2020-02-08T00:00:00"/>
    <s v="Another position"/>
    <s v="Voluntarily Terminated"/>
    <x v="0"/>
    <s v="Kissy Sullivan"/>
    <n v="20"/>
    <x v="1"/>
    <x v="1"/>
    <n v="4.2"/>
    <x v="0"/>
    <n v="0"/>
    <d v="2019-01-06T00:00:00"/>
    <n v="0"/>
    <n v="13"/>
    <n v="0"/>
    <n v="41.1"/>
    <x v="1"/>
    <n v="7.1"/>
    <x v="0"/>
    <n v="5"/>
  </r>
  <r>
    <s v="Robinson, Alain  "/>
    <n v="10047"/>
    <n v="1"/>
    <n v="1"/>
    <n v="1"/>
    <n v="5"/>
    <n v="5"/>
    <n v="3"/>
    <n v="0"/>
    <n v="50428"/>
    <n v="1"/>
    <n v="19"/>
    <s v="Production Technician I"/>
    <s v="MA"/>
    <n v="1420"/>
    <d v="1987-01-07T00:00:00"/>
    <x v="0"/>
    <s v="Married"/>
    <s v="US Citizen"/>
    <s v="No"/>
    <s v="Black or African American"/>
    <d v="2019-01-10T00:00:00"/>
    <d v="2024-01-26T00:00:00"/>
    <s v="attendance"/>
    <s v="Voluntarily Terminated"/>
    <x v="0"/>
    <s v="Amy Dunn"/>
    <n v="11"/>
    <x v="1"/>
    <x v="1"/>
    <n v="5"/>
    <x v="1"/>
    <n v="0"/>
    <d v="2022-01-10T00:00:00"/>
    <n v="0"/>
    <n v="11"/>
    <n v="0"/>
    <n v="39.700000000000003"/>
    <x v="1"/>
    <n v="7.7"/>
    <x v="0"/>
    <n v="5"/>
  </r>
  <r>
    <s v="Robinson, Cherly"/>
    <n v="10285"/>
    <n v="1"/>
    <n v="1"/>
    <n v="0"/>
    <n v="4"/>
    <n v="5"/>
    <n v="2"/>
    <n v="0"/>
    <n v="61422"/>
    <n v="1"/>
    <n v="19"/>
    <s v="Production Technician I"/>
    <s v="MA"/>
    <n v="1460"/>
    <d v="1998-01-07T00:00:00"/>
    <x v="1"/>
    <s v="Married"/>
    <s v="US Citizen"/>
    <s v="No"/>
    <s v="White"/>
    <d v="2019-01-10T00:00:00"/>
    <d v="2024-05-17T00:00:00"/>
    <s v="attendance"/>
    <s v="Terminated for Cause"/>
    <x v="0"/>
    <s v="Ketsia Liebig"/>
    <n v="19"/>
    <x v="1"/>
    <x v="2"/>
    <n v="3.6"/>
    <x v="1"/>
    <n v="0"/>
    <d v="2023-04-05T00:00:00"/>
    <n v="4"/>
    <n v="16"/>
    <n v="0"/>
    <n v="28.7"/>
    <x v="0"/>
    <n v="7.7"/>
    <x v="0"/>
    <n v="5"/>
  </r>
  <r>
    <s v="Robinson, Elias"/>
    <n v="10020"/>
    <n v="0"/>
    <n v="4"/>
    <n v="1"/>
    <n v="1"/>
    <n v="5"/>
    <n v="4"/>
    <n v="0"/>
    <n v="63353"/>
    <n v="0"/>
    <n v="19"/>
    <s v="Production Technician I"/>
    <s v="MA"/>
    <n v="1730"/>
    <d v="1998-01-28T00:00:00"/>
    <x v="0"/>
    <s v="Widowed"/>
    <s v="US Citizen"/>
    <s v="No"/>
    <s v="White"/>
    <d v="2021-07-08T00:00:00"/>
    <s v=""/>
    <s v="N/A-StillEmployed"/>
    <s v="Active"/>
    <x v="0"/>
    <s v="Brannon Miller"/>
    <n v="12"/>
    <x v="3"/>
    <x v="0"/>
    <n v="3.6"/>
    <x v="0"/>
    <n v="0"/>
    <d v="2026-02-11T00:00:00"/>
    <n v="0"/>
    <n v="4"/>
    <n v="1"/>
    <n v="28.7"/>
    <x v="0"/>
    <n v="5.0999999999999996"/>
    <x v="0"/>
    <n v="5"/>
  </r>
  <r>
    <s v="Roby, Lori "/>
    <n v="10162"/>
    <n v="1"/>
    <n v="1"/>
    <n v="0"/>
    <n v="1"/>
    <n v="3"/>
    <n v="3"/>
    <n v="0"/>
    <n v="89883"/>
    <n v="0"/>
    <n v="9"/>
    <s v="Data Analyst"/>
    <s v="MA"/>
    <n v="1886"/>
    <d v="1994-10-11T00:00:00"/>
    <x v="1"/>
    <s v="Married"/>
    <s v="US Citizen"/>
    <s v="No"/>
    <s v="White"/>
    <d v="2023-02-16T00:00:00"/>
    <s v=""/>
    <s v="N/A-StillEmployed"/>
    <s v="Active"/>
    <x v="1"/>
    <s v="Simon Roup"/>
    <n v="4"/>
    <x v="3"/>
    <x v="1"/>
    <n v="3.69"/>
    <x v="0"/>
    <n v="6"/>
    <d v="2026-02-14T00:00:00"/>
    <n v="0"/>
    <n v="15"/>
    <n v="1"/>
    <n v="31.8"/>
    <x v="0"/>
    <n v="3.6"/>
    <x v="1"/>
    <n v="4"/>
  </r>
  <r>
    <s v="Roehrich, Bianca"/>
    <n v="10149"/>
    <n v="0"/>
    <n v="0"/>
    <n v="0"/>
    <n v="5"/>
    <n v="3"/>
    <n v="3"/>
    <n v="0"/>
    <n v="120000"/>
    <n v="1"/>
    <n v="29"/>
    <s v="Principal Data Architect"/>
    <s v="MA"/>
    <n v="2703"/>
    <d v="1986-05-27T00:00:00"/>
    <x v="1"/>
    <s v="Single"/>
    <s v="US Citizen"/>
    <s v="Yes"/>
    <s v="White"/>
    <d v="2023-01-05T00:00:00"/>
    <d v="2018-11-10T00:00:00"/>
    <s v="Another position"/>
    <s v="Voluntarily Terminated"/>
    <x v="1"/>
    <s v="Simon Roup"/>
    <n v="4"/>
    <x v="0"/>
    <x v="1"/>
    <n v="3.88"/>
    <x v="1"/>
    <n v="7"/>
    <d v="2025-02-13T00:00:00"/>
    <n v="0"/>
    <n v="12"/>
    <n v="0"/>
    <n v="40.299999999999997"/>
    <x v="1"/>
    <n v="3.7"/>
    <x v="1"/>
    <n v="4"/>
  </r>
  <r>
    <s v="Roper, Katie"/>
    <n v="10086"/>
    <n v="0"/>
    <n v="0"/>
    <n v="0"/>
    <n v="1"/>
    <n v="3"/>
    <n v="3"/>
    <n v="0"/>
    <n v="150290"/>
    <n v="0"/>
    <n v="7"/>
    <s v="Data Architect"/>
    <s v="MA"/>
    <n v="2056"/>
    <d v="1985-11-21T00:00:00"/>
    <x v="1"/>
    <s v="Single"/>
    <s v="US Citizen"/>
    <s v="No"/>
    <s v="Black or African American"/>
    <d v="2025-01-07T00:00:00"/>
    <s v=""/>
    <s v="N/A-StillEmployed"/>
    <s v="Active"/>
    <x v="1"/>
    <s v="Brian Champaigne"/>
    <n v="13"/>
    <x v="1"/>
    <x v="1"/>
    <n v="4.9400000000000004"/>
    <x v="1"/>
    <n v="5"/>
    <d v="2026-02-06T00:00:00"/>
    <n v="0"/>
    <n v="17"/>
    <n v="1"/>
    <n v="40.799999999999997"/>
    <x v="1"/>
    <n v="1.7"/>
    <x v="3"/>
    <n v="2"/>
  </r>
  <r>
    <s v="Rose, Ashley  "/>
    <n v="10054"/>
    <n v="0"/>
    <n v="3"/>
    <n v="0"/>
    <n v="1"/>
    <n v="5"/>
    <n v="3"/>
    <n v="0"/>
    <n v="60627"/>
    <n v="0"/>
    <n v="19"/>
    <s v="Production Technician I"/>
    <s v="MA"/>
    <n v="1886"/>
    <d v="1987-12-05T00:00:00"/>
    <x v="1"/>
    <s v="Separated"/>
    <s v="US Citizen"/>
    <s v="No"/>
    <s v="White"/>
    <d v="2022-01-06T00:00:00"/>
    <s v=""/>
    <s v="N/A-StillEmployed"/>
    <s v="Active"/>
    <x v="0"/>
    <s v="David Stanley"/>
    <n v="14"/>
    <x v="7"/>
    <x v="1"/>
    <n v="5"/>
    <x v="2"/>
    <n v="0"/>
    <d v="2026-01-31T00:00:00"/>
    <n v="0"/>
    <n v="8"/>
    <n v="1"/>
    <n v="38.799999999999997"/>
    <x v="1"/>
    <n v="4.7"/>
    <x v="1"/>
    <n v="4"/>
  </r>
  <r>
    <s v="Rossetti, Bruno"/>
    <n v="10065"/>
    <n v="0"/>
    <n v="0"/>
    <n v="1"/>
    <n v="5"/>
    <n v="5"/>
    <n v="3"/>
    <n v="0"/>
    <n v="53180"/>
    <n v="1"/>
    <n v="19"/>
    <s v="Production Technician I"/>
    <s v="MA"/>
    <n v="2155"/>
    <d v="2000-03-18T00:00:00"/>
    <x v="0"/>
    <s v="Single"/>
    <s v="US Citizen"/>
    <s v="No"/>
    <s v="White"/>
    <d v="2019-04-04T00:00:00"/>
    <d v="2026-08-13T00:00:00"/>
    <s v="Another position"/>
    <s v="Voluntarily Terminated"/>
    <x v="0"/>
    <s v="Kissy Sullivan"/>
    <n v="20"/>
    <x v="2"/>
    <x v="1"/>
    <n v="5"/>
    <x v="0"/>
    <n v="0"/>
    <d v="2025-07-02T00:00:00"/>
    <n v="0"/>
    <n v="4"/>
    <n v="1"/>
    <n v="26.5"/>
    <x v="0"/>
    <n v="7.4"/>
    <x v="0"/>
    <n v="5"/>
  </r>
  <r>
    <s v="Roup,Simon"/>
    <n v="10198"/>
    <n v="0"/>
    <n v="0"/>
    <n v="1"/>
    <n v="1"/>
    <n v="3"/>
    <n v="3"/>
    <n v="0"/>
    <n v="140920"/>
    <n v="0"/>
    <n v="13"/>
    <s v="IT Manager - DB"/>
    <s v="MA"/>
    <n v="2481"/>
    <d v="1986-04-05T00:00:00"/>
    <x v="0"/>
    <s v="Single"/>
    <s v="US Citizen"/>
    <s v="No"/>
    <s v="White"/>
    <d v="2021-01-20T00:00:00"/>
    <s v=""/>
    <s v="N/A-StillEmployed"/>
    <s v="Active"/>
    <x v="1"/>
    <s v="Jennifer Zamora"/>
    <n v="5"/>
    <x v="1"/>
    <x v="1"/>
    <n v="3.6"/>
    <x v="0"/>
    <n v="7"/>
    <d v="2026-02-18T00:00:00"/>
    <n v="0"/>
    <n v="13"/>
    <n v="1"/>
    <n v="40.4"/>
    <x v="1"/>
    <n v="5.7"/>
    <x v="0"/>
    <n v="5"/>
  </r>
  <r>
    <s v="Ruiz, Ricardo"/>
    <n v="10222"/>
    <n v="0"/>
    <n v="2"/>
    <n v="1"/>
    <n v="5"/>
    <n v="3"/>
    <n v="3"/>
    <n v="1"/>
    <n v="148999"/>
    <n v="1"/>
    <n v="13"/>
    <s v="IT Manager - DB"/>
    <s v="MA"/>
    <n v="1915"/>
    <d v="1977-01-04T00:00:00"/>
    <x v="0"/>
    <s v="Divorced"/>
    <s v="US Citizen"/>
    <s v="No"/>
    <s v="Black or African American"/>
    <d v="2020-01-09T00:00:00"/>
    <d v="2023-11-04T00:00:00"/>
    <s v="hours"/>
    <s v="Voluntarily Terminated"/>
    <x v="1"/>
    <s v="Jennifer Zamora"/>
    <n v="5"/>
    <x v="4"/>
    <x v="1"/>
    <n v="4.3"/>
    <x v="2"/>
    <n v="6"/>
    <d v="2022-01-04T00:00:00"/>
    <n v="0"/>
    <n v="8"/>
    <n v="0"/>
    <n v="49.7"/>
    <x v="3"/>
    <n v="6.7"/>
    <x v="0"/>
    <n v="5"/>
  </r>
  <r>
    <s v="Saada, Adell"/>
    <n v="10126"/>
    <n v="1"/>
    <n v="1"/>
    <n v="0"/>
    <n v="1"/>
    <n v="4"/>
    <n v="3"/>
    <n v="0"/>
    <n v="86214"/>
    <n v="0"/>
    <n v="24"/>
    <s v="Software Engineer"/>
    <s v="MA"/>
    <n v="2132"/>
    <d v="1999-07-24T00:00:00"/>
    <x v="1"/>
    <s v="Married"/>
    <s v="US Citizen"/>
    <s v="No"/>
    <s v="White"/>
    <d v="2020-11-05T00:00:00"/>
    <s v=""/>
    <s v="N/A-StillEmployed"/>
    <s v="Active"/>
    <x v="2"/>
    <s v="Alex Sweetwater"/>
    <n v="10"/>
    <x v="1"/>
    <x v="1"/>
    <n v="4.2"/>
    <x v="1"/>
    <n v="6"/>
    <d v="2026-02-13T00:00:00"/>
    <n v="0"/>
    <n v="2"/>
    <n v="1"/>
    <n v="27.1"/>
    <x v="0"/>
    <n v="5.8"/>
    <x v="0"/>
    <n v="5"/>
  </r>
  <r>
    <s v="Saar-Beckles, Melinda"/>
    <n v="10295"/>
    <n v="0"/>
    <n v="0"/>
    <n v="0"/>
    <n v="2"/>
    <n v="5"/>
    <n v="2"/>
    <n v="1"/>
    <n v="47750"/>
    <n v="0"/>
    <n v="19"/>
    <s v="Production Technician I"/>
    <s v="MA"/>
    <n v="1801"/>
    <d v="1981-06-06T00:00:00"/>
    <x v="1"/>
    <s v="Single"/>
    <s v="US Citizen"/>
    <s v="No"/>
    <s v="Black or African American"/>
    <d v="2024-07-04T00:00:00"/>
    <s v=""/>
    <s v="N/A-StillEmployed"/>
    <s v="Active"/>
    <x v="0"/>
    <s v="Kelley Spirea"/>
    <n v="18"/>
    <x v="4"/>
    <x v="2"/>
    <n v="2.6"/>
    <x v="2"/>
    <n v="0"/>
    <d v="2026-02-18T00:00:00"/>
    <n v="5"/>
    <n v="4"/>
    <n v="1"/>
    <n v="45.2"/>
    <x v="3"/>
    <n v="2.1"/>
    <x v="2"/>
    <n v="3"/>
  </r>
  <r>
    <s v="Sadki, Nore  "/>
    <n v="10260"/>
    <n v="0"/>
    <n v="0"/>
    <n v="1"/>
    <n v="5"/>
    <n v="5"/>
    <n v="3"/>
    <n v="0"/>
    <n v="46428"/>
    <n v="1"/>
    <n v="19"/>
    <s v="Production Technician I"/>
    <s v="MA"/>
    <n v="2148"/>
    <d v="1987-12-21T00:00:00"/>
    <x v="0"/>
    <s v="Single"/>
    <s v="US Citizen"/>
    <s v="No"/>
    <s v="White"/>
    <d v="2017-01-05T00:00:00"/>
    <d v="2026-07-30T00:00:00"/>
    <s v="relocation out of area"/>
    <s v="Voluntarily Terminated"/>
    <x v="0"/>
    <s v="Michael Albert"/>
    <n v="22"/>
    <x v="2"/>
    <x v="1"/>
    <n v="4.5999999999999996"/>
    <x v="0"/>
    <n v="0"/>
    <d v="2025-02-05T00:00:00"/>
    <n v="0"/>
    <n v="7"/>
    <n v="0"/>
    <n v="38.799999999999997"/>
    <x v="1"/>
    <n v="9.6999999999999993"/>
    <x v="0"/>
    <n v="5"/>
  </r>
  <r>
    <s v="Sahoo, Adil"/>
    <n v="10233"/>
    <n v="1"/>
    <n v="1"/>
    <n v="1"/>
    <n v="1"/>
    <n v="5"/>
    <n v="3"/>
    <n v="0"/>
    <n v="57975"/>
    <n v="0"/>
    <n v="20"/>
    <s v="Production Technician II"/>
    <s v="MA"/>
    <n v="2062"/>
    <d v="1999-04-26T00:00:00"/>
    <x v="0"/>
    <s v="Married"/>
    <s v="US Citizen"/>
    <s v="No"/>
    <s v="White"/>
    <d v="2018-08-30T00:00:00"/>
    <s v=""/>
    <s v="N/A-StillEmployed"/>
    <s v="Active"/>
    <x v="0"/>
    <s v="Kelley Spirea"/>
    <n v="18"/>
    <x v="6"/>
    <x v="1"/>
    <n v="4.0999999999999996"/>
    <x v="1"/>
    <n v="0"/>
    <d v="2026-01-10T00:00:00"/>
    <n v="0"/>
    <n v="13"/>
    <n v="1"/>
    <n v="27.4"/>
    <x v="0"/>
    <n v="8"/>
    <x v="0"/>
    <n v="5"/>
  </r>
  <r>
    <s v="Salter, Jason"/>
    <n v="10229"/>
    <n v="0"/>
    <n v="2"/>
    <n v="1"/>
    <n v="5"/>
    <n v="3"/>
    <n v="3"/>
    <n v="0"/>
    <n v="88527"/>
    <n v="1"/>
    <n v="9"/>
    <s v="Data Analyst "/>
    <s v="MA"/>
    <n v="2452"/>
    <d v="2000-12-17T00:00:00"/>
    <x v="0"/>
    <s v="Divorced"/>
    <s v="US Citizen"/>
    <s v="No"/>
    <s v="Black or African American"/>
    <d v="2023-01-05T00:00:00"/>
    <d v="2023-10-31T00:00:00"/>
    <s v="hours"/>
    <s v="Voluntarily Terminated"/>
    <x v="1"/>
    <s v="Simon Roup"/>
    <n v="4"/>
    <x v="0"/>
    <x v="1"/>
    <n v="4.2"/>
    <x v="1"/>
    <n v="5"/>
    <d v="2022-04-20T00:00:00"/>
    <n v="0"/>
    <n v="2"/>
    <n v="0"/>
    <n v="25.8"/>
    <x v="0"/>
    <n v="3.7"/>
    <x v="1"/>
    <n v="4"/>
  </r>
  <r>
    <s v="Sander, Kamrin"/>
    <n v="10169"/>
    <n v="1"/>
    <n v="1"/>
    <n v="0"/>
    <n v="1"/>
    <n v="5"/>
    <n v="3"/>
    <n v="0"/>
    <n v="56147"/>
    <n v="0"/>
    <n v="19"/>
    <s v="Production Technician I"/>
    <s v="MA"/>
    <n v="2154"/>
    <d v="2001-07-10T00:00:00"/>
    <x v="1"/>
    <s v="Married"/>
    <s v="US Citizen"/>
    <s v="No"/>
    <s v="Black or African American"/>
    <d v="2022-09-29T00:00:00"/>
    <s v=""/>
    <s v="N/A-StillEmployed"/>
    <s v="Active"/>
    <x v="0"/>
    <s v="Elijiah Gray"/>
    <n v="16"/>
    <x v="0"/>
    <x v="1"/>
    <n v="3.51"/>
    <x v="1"/>
    <n v="0"/>
    <d v="2026-02-18T00:00:00"/>
    <n v="0"/>
    <n v="2"/>
    <n v="1"/>
    <n v="25.1"/>
    <x v="0"/>
    <n v="3.8"/>
    <x v="1"/>
    <n v="4"/>
  </r>
  <r>
    <s v="Sewkumar, Nori"/>
    <n v="10071"/>
    <n v="0"/>
    <n v="0"/>
    <n v="0"/>
    <n v="3"/>
    <n v="5"/>
    <n v="3"/>
    <n v="0"/>
    <n v="50923"/>
    <n v="0"/>
    <n v="19"/>
    <s v="Production Technician I"/>
    <s v="MA"/>
    <n v="2191"/>
    <d v="1988-03-10T00:00:00"/>
    <x v="1"/>
    <s v="Single"/>
    <s v="US Citizen"/>
    <s v="No"/>
    <s v="Asian"/>
    <d v="2021-09-30T00:00:00"/>
    <s v=""/>
    <s v="N/A-StillEmployed"/>
    <s v="Active"/>
    <x v="0"/>
    <s v="Webster Butler"/>
    <m/>
    <x v="2"/>
    <x v="1"/>
    <n v="5"/>
    <x v="0"/>
    <n v="0"/>
    <d v="2026-02-06T00:00:00"/>
    <n v="0"/>
    <n v="14"/>
    <n v="1"/>
    <n v="38.5"/>
    <x v="1"/>
    <n v="4.8"/>
    <x v="1"/>
    <n v="4"/>
  </r>
  <r>
    <s v="Shepard, Anita "/>
    <n v="10179"/>
    <n v="1"/>
    <n v="1"/>
    <n v="0"/>
    <n v="1"/>
    <n v="3"/>
    <n v="3"/>
    <n v="0"/>
    <n v="50750"/>
    <n v="0"/>
    <n v="15"/>
    <s v="Network Engineer"/>
    <s v="MA"/>
    <n v="1773"/>
    <d v="1994-04-14T00:00:00"/>
    <x v="1"/>
    <s v="Married"/>
    <s v="US Citizen"/>
    <s v="No"/>
    <s v="White"/>
    <d v="2022-09-30T00:00:00"/>
    <s v=""/>
    <s v="N/A-StillEmployed"/>
    <s v="Active"/>
    <x v="1"/>
    <s v="Peter Monroe"/>
    <n v="7"/>
    <x v="0"/>
    <x v="1"/>
    <n v="3.31"/>
    <x v="1"/>
    <n v="6"/>
    <d v="2026-01-07T00:00:00"/>
    <n v="0"/>
    <n v="7"/>
    <n v="1"/>
    <n v="32.4"/>
    <x v="0"/>
    <n v="3.8"/>
    <x v="1"/>
    <n v="4"/>
  </r>
  <r>
    <s v="Shields, Seffi"/>
    <n v="10091"/>
    <n v="1"/>
    <n v="1"/>
    <n v="0"/>
    <n v="1"/>
    <n v="5"/>
    <n v="3"/>
    <n v="0"/>
    <n v="52087"/>
    <n v="0"/>
    <n v="19"/>
    <s v="Production Technician I"/>
    <s v="MA"/>
    <n v="2149"/>
    <d v="1998-08-24T00:00:00"/>
    <x v="1"/>
    <s v="Married"/>
    <s v="US Citizen"/>
    <s v="No"/>
    <s v="White"/>
    <d v="2021-08-19T00:00:00"/>
    <s v=""/>
    <s v="N/A-StillEmployed"/>
    <s v="Active"/>
    <x v="0"/>
    <s v="Amy Dunn"/>
    <n v="11"/>
    <x v="0"/>
    <x v="1"/>
    <n v="4.8099999999999996"/>
    <x v="2"/>
    <n v="0"/>
    <d v="2026-02-15T00:00:00"/>
    <n v="0"/>
    <n v="15"/>
    <n v="1"/>
    <n v="28"/>
    <x v="0"/>
    <n v="5"/>
    <x v="1"/>
    <n v="4"/>
  </r>
  <r>
    <s v="Simard, Kramer"/>
    <n v="10178"/>
    <n v="1"/>
    <n v="1"/>
    <n v="1"/>
    <n v="1"/>
    <n v="3"/>
    <n v="3"/>
    <n v="0"/>
    <n v="87826"/>
    <n v="0"/>
    <n v="9"/>
    <s v="Data Analyst"/>
    <s v="MA"/>
    <n v="2110"/>
    <d v="1983-02-08T00:00:00"/>
    <x v="0"/>
    <s v="Married"/>
    <s v="US Citizen"/>
    <s v="Yes"/>
    <s v="White"/>
    <d v="2023-01-05T00:00:00"/>
    <s v=""/>
    <s v="N/A-StillEmployed"/>
    <s v="Active"/>
    <x v="1"/>
    <s v="Simon Roup"/>
    <n v="4"/>
    <x v="3"/>
    <x v="1"/>
    <n v="3.32"/>
    <x v="1"/>
    <n v="7"/>
    <d v="2026-01-14T00:00:00"/>
    <n v="0"/>
    <n v="16"/>
    <n v="1"/>
    <n v="43.6"/>
    <x v="1"/>
    <n v="3.7"/>
    <x v="1"/>
    <n v="4"/>
  </r>
  <r>
    <s v="Singh, Nan "/>
    <n v="10039"/>
    <n v="0"/>
    <n v="0"/>
    <n v="0"/>
    <n v="1"/>
    <n v="1"/>
    <n v="3"/>
    <n v="0"/>
    <n v="51920"/>
    <n v="0"/>
    <n v="2"/>
    <s v="Administrative Assistant"/>
    <s v="MA"/>
    <n v="2330"/>
    <d v="2001-05-19T00:00:00"/>
    <x v="1"/>
    <s v="Single"/>
    <s v="US Citizen"/>
    <s v="No"/>
    <s v="White"/>
    <d v="2023-05-01T00:00:00"/>
    <s v=""/>
    <s v="N/A-StillEmployed"/>
    <s v="Active"/>
    <x v="3"/>
    <s v="Brandon R. LeBlanc"/>
    <n v="1"/>
    <x v="7"/>
    <x v="1"/>
    <n v="5"/>
    <x v="1"/>
    <n v="5"/>
    <d v="2026-01-15T00:00:00"/>
    <n v="0"/>
    <n v="2"/>
    <n v="1"/>
    <n v="25.3"/>
    <x v="0"/>
    <n v="3.3"/>
    <x v="1"/>
    <n v="4"/>
  </r>
  <r>
    <s v="Sloan, Constance"/>
    <n v="10095"/>
    <n v="0"/>
    <n v="0"/>
    <n v="0"/>
    <n v="5"/>
    <n v="5"/>
    <n v="3"/>
    <n v="0"/>
    <n v="63878"/>
    <n v="1"/>
    <n v="20"/>
    <s v="Production Technician II"/>
    <s v="MA"/>
    <n v="1851"/>
    <d v="2000-11-25T00:00:00"/>
    <x v="1"/>
    <s v="Single"/>
    <s v="US Citizen"/>
    <s v="No"/>
    <s v="White"/>
    <d v="2017-10-26T00:00:00"/>
    <d v="2023-04-08T00:00:00"/>
    <s v="maternity leave - did not return"/>
    <s v="Voluntarily Terminated"/>
    <x v="0"/>
    <s v="Michael Albert"/>
    <n v="22"/>
    <x v="6"/>
    <x v="1"/>
    <n v="4.68"/>
    <x v="2"/>
    <n v="0"/>
    <d v="2022-04-02T00:00:00"/>
    <n v="0"/>
    <n v="20"/>
    <n v="0"/>
    <n v="25.8"/>
    <x v="0"/>
    <n v="8.8000000000000007"/>
    <x v="0"/>
    <n v="5"/>
  </r>
  <r>
    <s v="Smith, Joe"/>
    <n v="10027"/>
    <n v="0"/>
    <n v="0"/>
    <n v="1"/>
    <n v="1"/>
    <n v="5"/>
    <n v="4"/>
    <n v="0"/>
    <n v="60656"/>
    <n v="0"/>
    <n v="20"/>
    <s v="Production Technician II"/>
    <s v="MA"/>
    <n v="2045"/>
    <d v="1976-10-30T00:00:00"/>
    <x v="0"/>
    <s v="Single"/>
    <s v="US Citizen"/>
    <s v="No"/>
    <s v="White"/>
    <d v="2022-09-29T00:00:00"/>
    <s v=""/>
    <s v="N/A-StillEmployed"/>
    <s v="Active"/>
    <x v="0"/>
    <s v="Elijiah Gray"/>
    <n v="16"/>
    <x v="1"/>
    <x v="0"/>
    <n v="4.3"/>
    <x v="1"/>
    <n v="0"/>
    <d v="2026-01-28T00:00:00"/>
    <n v="0"/>
    <n v="4"/>
    <n v="1"/>
    <n v="49.8"/>
    <x v="3"/>
    <n v="3.8"/>
    <x v="1"/>
    <n v="4"/>
  </r>
  <r>
    <s v="Smith, John"/>
    <n v="10291"/>
    <n v="0"/>
    <n v="2"/>
    <n v="1"/>
    <n v="1"/>
    <n v="6"/>
    <n v="2"/>
    <n v="1"/>
    <n v="72992"/>
    <n v="0"/>
    <n v="21"/>
    <s v="Sales Manager"/>
    <s v="MA"/>
    <n v="1886"/>
    <d v="1997-08-16T00:00:00"/>
    <x v="0"/>
    <s v="Divorced"/>
    <s v="US Citizen"/>
    <s v="No"/>
    <s v="Black or African American"/>
    <d v="2022-05-18T00:00:00"/>
    <s v=""/>
    <s v="N/A-StillEmployed"/>
    <s v="Active"/>
    <x v="4"/>
    <s v="Debra Houlihan"/>
    <n v="15"/>
    <x v="4"/>
    <x v="2"/>
    <n v="2.4"/>
    <x v="2"/>
    <n v="0"/>
    <d v="2026-01-16T00:00:00"/>
    <n v="2"/>
    <n v="16"/>
    <n v="1"/>
    <n v="29"/>
    <x v="0"/>
    <n v="4.3"/>
    <x v="1"/>
    <n v="4"/>
  </r>
  <r>
    <s v="Smith, Leigh Ann"/>
    <n v="10153"/>
    <n v="1"/>
    <n v="1"/>
    <n v="0"/>
    <n v="5"/>
    <n v="1"/>
    <n v="3"/>
    <n v="1"/>
    <n v="55000"/>
    <n v="1"/>
    <n v="2"/>
    <s v="Administrative Assistant"/>
    <s v="MA"/>
    <n v="1844"/>
    <d v="2000-06-14T00:00:00"/>
    <x v="1"/>
    <s v="Married"/>
    <s v="US Citizen"/>
    <s v="No"/>
    <s v="Black or African American"/>
    <d v="2019-09-26T00:00:00"/>
    <d v="2021-09-25T00:00:00"/>
    <s v="career change"/>
    <s v="Voluntarily Terminated"/>
    <x v="3"/>
    <s v="Brandon R. LeBlanc"/>
    <n v="1"/>
    <x v="4"/>
    <x v="1"/>
    <n v="3.8"/>
    <x v="2"/>
    <n v="4"/>
    <d v="2020-08-15T00:00:00"/>
    <n v="0"/>
    <n v="17"/>
    <n v="0"/>
    <n v="26.2"/>
    <x v="0"/>
    <n v="6.8"/>
    <x v="0"/>
    <n v="5"/>
  </r>
  <r>
    <s v="Smith, Sade"/>
    <n v="10157"/>
    <n v="0"/>
    <n v="0"/>
    <n v="0"/>
    <n v="1"/>
    <n v="5"/>
    <n v="3"/>
    <n v="0"/>
    <n v="58939"/>
    <n v="0"/>
    <n v="19"/>
    <s v="Production Technician I"/>
    <s v="MA"/>
    <n v="2130"/>
    <d v="1978-02-02T00:00:00"/>
    <x v="1"/>
    <s v="Single"/>
    <s v="US Citizen"/>
    <s v="No"/>
    <s v="White"/>
    <d v="2021-11-11T00:00:00"/>
    <s v=""/>
    <s v="N/A-StillEmployed"/>
    <s v="Active"/>
    <x v="0"/>
    <s v="Ketsia Liebig"/>
    <n v="19"/>
    <x v="3"/>
    <x v="1"/>
    <n v="3.73"/>
    <x v="1"/>
    <n v="0"/>
    <d v="2026-01-24T00:00:00"/>
    <n v="0"/>
    <n v="16"/>
    <n v="1"/>
    <n v="48.6"/>
    <x v="3"/>
    <n v="4.8"/>
    <x v="1"/>
    <n v="4"/>
  </r>
  <r>
    <s v="Soto, Julia "/>
    <n v="10119"/>
    <n v="1"/>
    <n v="1"/>
    <n v="0"/>
    <n v="1"/>
    <n v="3"/>
    <n v="3"/>
    <n v="0"/>
    <n v="66593"/>
    <n v="0"/>
    <n v="14"/>
    <s v="IT Support"/>
    <s v="MA"/>
    <n v="2360"/>
    <d v="1986-03-12T00:00:00"/>
    <x v="1"/>
    <s v="Married"/>
    <s v="US Citizen"/>
    <s v="No"/>
    <s v="Black or African American"/>
    <d v="2019-06-10T00:00:00"/>
    <s v=""/>
    <s v="N/A-StillEmployed"/>
    <s v="Active"/>
    <x v="1"/>
    <s v="Eric Dougall"/>
    <n v="6"/>
    <x v="0"/>
    <x v="1"/>
    <n v="4.3"/>
    <x v="1"/>
    <n v="5"/>
    <d v="2026-02-08T00:00:00"/>
    <n v="0"/>
    <n v="19"/>
    <n v="1"/>
    <n v="40.5"/>
    <x v="1"/>
    <n v="7.2"/>
    <x v="0"/>
    <n v="5"/>
  </r>
  <r>
    <s v="Soze, Keyser"/>
    <n v="10180"/>
    <n v="1"/>
    <n v="1"/>
    <n v="1"/>
    <n v="2"/>
    <n v="3"/>
    <n v="3"/>
    <n v="0"/>
    <n v="87565"/>
    <n v="0"/>
    <n v="28"/>
    <s v="Sr. Network Engineer"/>
    <s v="MA"/>
    <n v="1545"/>
    <d v="1996-02-09T00:00:00"/>
    <x v="0"/>
    <s v="Married"/>
    <s v="US Citizen"/>
    <s v="No"/>
    <s v="Asian"/>
    <d v="2024-06-30T00:00:00"/>
    <s v=""/>
    <s v="N/A-StillEmployed"/>
    <s v="Active"/>
    <x v="1"/>
    <s v="Peter Monroe"/>
    <n v="7"/>
    <x v="0"/>
    <x v="1"/>
    <n v="3.27"/>
    <x v="2"/>
    <n v="5"/>
    <d v="2026-01-14T00:00:00"/>
    <n v="0"/>
    <n v="13"/>
    <n v="1"/>
    <n v="30.6"/>
    <x v="0"/>
    <n v="2.2000000000000002"/>
    <x v="2"/>
    <n v="3"/>
  </r>
  <r>
    <s v="Sparks, Taylor  "/>
    <n v="10302"/>
    <n v="1"/>
    <n v="1"/>
    <n v="0"/>
    <n v="1"/>
    <n v="5"/>
    <n v="1"/>
    <n v="0"/>
    <n v="64021"/>
    <n v="0"/>
    <n v="19"/>
    <s v="Production Technician I"/>
    <s v="MA"/>
    <n v="2093"/>
    <d v="1981-07-20T00:00:00"/>
    <x v="1"/>
    <s v="Married"/>
    <s v="US Citizen"/>
    <s v="No"/>
    <s v="White"/>
    <d v="2020-02-20T00:00:00"/>
    <s v=""/>
    <s v="N/A-StillEmployed"/>
    <s v="Active"/>
    <x v="0"/>
    <s v="Brannon Miller"/>
    <n v="12"/>
    <x v="1"/>
    <x v="3"/>
    <n v="2.4"/>
    <x v="3"/>
    <n v="1"/>
    <d v="2026-02-25T00:00:00"/>
    <n v="6"/>
    <n v="20"/>
    <n v="1"/>
    <n v="45.1"/>
    <x v="3"/>
    <n v="6.6"/>
    <x v="0"/>
    <n v="5"/>
  </r>
  <r>
    <s v="Spirea, Kelley"/>
    <n v="10090"/>
    <n v="1"/>
    <n v="1"/>
    <n v="0"/>
    <n v="1"/>
    <n v="5"/>
    <n v="3"/>
    <n v="0"/>
    <n v="65714"/>
    <n v="0"/>
    <n v="18"/>
    <s v="Production Manager"/>
    <s v="MA"/>
    <n v="2451"/>
    <d v="1988-09-30T00:00:00"/>
    <x v="1"/>
    <s v="Married"/>
    <s v="US Citizen"/>
    <s v="No"/>
    <s v="White"/>
    <d v="2020-10-02T00:00:00"/>
    <s v=""/>
    <s v="N/A-StillEmployed"/>
    <s v="Active"/>
    <x v="0"/>
    <s v="Janet King"/>
    <n v="2"/>
    <x v="0"/>
    <x v="1"/>
    <n v="4.83"/>
    <x v="0"/>
    <n v="0"/>
    <d v="2026-02-14T00:00:00"/>
    <n v="0"/>
    <n v="15"/>
    <n v="1"/>
    <n v="37.799999999999997"/>
    <x v="1"/>
    <n v="5.8"/>
    <x v="0"/>
    <n v="5"/>
  </r>
  <r>
    <s v="Squatrito, Kristen"/>
    <n v="10030"/>
    <n v="0"/>
    <n v="2"/>
    <n v="0"/>
    <n v="5"/>
    <n v="5"/>
    <n v="4"/>
    <n v="0"/>
    <n v="62425"/>
    <n v="1"/>
    <n v="19"/>
    <s v="Production Technician I"/>
    <s v="MA"/>
    <n v="2359"/>
    <d v="1986-03-26T00:00:00"/>
    <x v="1"/>
    <s v="Divorced"/>
    <s v="US Citizen"/>
    <s v="No"/>
    <s v="White"/>
    <d v="2021-05-13T00:00:00"/>
    <d v="2023-06-29T00:00:00"/>
    <s v="unhappy"/>
    <s v="Voluntarily Terminated"/>
    <x v="0"/>
    <s v="David Stanley"/>
    <n v="14"/>
    <x v="0"/>
    <x v="0"/>
    <n v="4.0999999999999996"/>
    <x v="2"/>
    <n v="0"/>
    <d v="2022-03-02T00:00:00"/>
    <n v="0"/>
    <n v="16"/>
    <n v="0"/>
    <n v="40.5"/>
    <x v="1"/>
    <n v="5.3"/>
    <x v="0"/>
    <n v="5"/>
  </r>
  <r>
    <s v="Stanford,Barbara  M"/>
    <n v="10278"/>
    <n v="0"/>
    <n v="2"/>
    <n v="0"/>
    <n v="1"/>
    <n v="5"/>
    <n v="3"/>
    <n v="0"/>
    <n v="47961"/>
    <n v="0"/>
    <n v="19"/>
    <s v="Production Technician I"/>
    <s v="MA"/>
    <n v="2050"/>
    <d v="1995-08-25T00:00:00"/>
    <x v="1"/>
    <s v="Divorced"/>
    <s v="US Citizen"/>
    <s v="No"/>
    <s v="Two or more races"/>
    <d v="2019-01-10T00:00:00"/>
    <s v=""/>
    <s v="N/A-StillEmployed"/>
    <s v="Active"/>
    <x v="0"/>
    <s v="Kissy Sullivan"/>
    <n v="20"/>
    <x v="2"/>
    <x v="1"/>
    <n v="4.0999999999999996"/>
    <x v="2"/>
    <n v="0"/>
    <d v="2026-02-07T00:00:00"/>
    <n v="0"/>
    <n v="9"/>
    <n v="1"/>
    <n v="31"/>
    <x v="0"/>
    <n v="7.7"/>
    <x v="0"/>
    <n v="5"/>
  </r>
  <r>
    <s v="Stansfield, Norman"/>
    <n v="10307"/>
    <n v="1"/>
    <n v="1"/>
    <n v="1"/>
    <n v="1"/>
    <n v="6"/>
    <n v="1"/>
    <n v="0"/>
    <n v="58273"/>
    <n v="0"/>
    <n v="3"/>
    <s v="Area Sales Manager"/>
    <s v="NV"/>
    <n v="89139"/>
    <d v="1987-05-09T00:00:00"/>
    <x v="0"/>
    <s v="Married"/>
    <s v="US Citizen"/>
    <s v="No"/>
    <s v="White"/>
    <d v="2022-05-12T00:00:00"/>
    <s v=""/>
    <s v="N/A-StillEmployed"/>
    <s v="Active"/>
    <x v="4"/>
    <s v="Lynn Daneault"/>
    <n v="21"/>
    <x v="7"/>
    <x v="3"/>
    <n v="1.81"/>
    <x v="3"/>
    <n v="0"/>
    <d v="2026-01-17T00:00:00"/>
    <n v="3"/>
    <n v="5"/>
    <n v="1"/>
    <n v="39.299999999999997"/>
    <x v="1"/>
    <n v="4.3"/>
    <x v="1"/>
    <n v="4"/>
  </r>
  <r>
    <s v="Steans, Tyrone  "/>
    <n v="10147"/>
    <n v="0"/>
    <n v="0"/>
    <n v="1"/>
    <n v="1"/>
    <n v="1"/>
    <n v="3"/>
    <n v="0"/>
    <n v="63003"/>
    <n v="0"/>
    <n v="1"/>
    <s v="Accountant I"/>
    <s v="MA"/>
    <n v="2703"/>
    <d v="1999-09-01T00:00:00"/>
    <x v="0"/>
    <s v="Single"/>
    <s v="US Citizen"/>
    <s v="No"/>
    <s v="White"/>
    <d v="2022-09-29T00:00:00"/>
    <s v=""/>
    <s v="N/A-StillEmployed"/>
    <s v="Active"/>
    <x v="3"/>
    <s v="Brandon R. LeBlanc"/>
    <n v="1"/>
    <x v="1"/>
    <x v="1"/>
    <n v="3.9"/>
    <x v="0"/>
    <n v="5"/>
    <d v="2026-01-18T00:00:00"/>
    <n v="0"/>
    <n v="9"/>
    <n v="1"/>
    <n v="26.8"/>
    <x v="0"/>
    <n v="3.8"/>
    <x v="1"/>
    <n v="4"/>
  </r>
  <r>
    <s v="Stoica, Rick"/>
    <n v="10266"/>
    <n v="1"/>
    <n v="1"/>
    <n v="1"/>
    <n v="1"/>
    <n v="5"/>
    <n v="3"/>
    <n v="0"/>
    <n v="61355"/>
    <n v="0"/>
    <n v="19"/>
    <s v="Production Technician I"/>
    <s v="MA"/>
    <n v="2301"/>
    <d v="1998-03-14T00:00:00"/>
    <x v="0"/>
    <s v="Married"/>
    <s v="US Citizen"/>
    <s v="No"/>
    <s v="Asian"/>
    <d v="2022-02-17T00:00:00"/>
    <s v=""/>
    <s v="N/A-StillEmployed"/>
    <s v="Active"/>
    <x v="0"/>
    <s v="Kelley Spirea"/>
    <n v="18"/>
    <x v="0"/>
    <x v="1"/>
    <n v="4.7"/>
    <x v="1"/>
    <n v="0"/>
    <d v="2026-01-11T00:00:00"/>
    <n v="0"/>
    <n v="4"/>
    <n v="1"/>
    <n v="28.5"/>
    <x v="0"/>
    <n v="4.5999999999999996"/>
    <x v="1"/>
    <n v="4"/>
  </r>
  <r>
    <s v="Strong, Caitrin"/>
    <n v="10241"/>
    <n v="1"/>
    <n v="1"/>
    <n v="0"/>
    <n v="1"/>
    <n v="6"/>
    <n v="3"/>
    <n v="0"/>
    <n v="60120"/>
    <n v="0"/>
    <n v="3"/>
    <s v="Area Sales Manager"/>
    <s v="MT"/>
    <n v="59102"/>
    <d v="2002-05-12T00:00:00"/>
    <x v="1"/>
    <s v="Married"/>
    <s v="US Citizen"/>
    <s v="No"/>
    <s v="Black or African American"/>
    <d v="2018-09-27T00:00:00"/>
    <s v=""/>
    <s v="N/A-StillEmployed"/>
    <s v="Active"/>
    <x v="4"/>
    <s v="John Smith"/>
    <n v="17"/>
    <x v="1"/>
    <x v="1"/>
    <n v="4.0999999999999996"/>
    <x v="2"/>
    <n v="0"/>
    <d v="2026-01-31T00:00:00"/>
    <n v="0"/>
    <n v="18"/>
    <n v="1"/>
    <n v="24.3"/>
    <x v="2"/>
    <n v="7.8"/>
    <x v="0"/>
    <n v="5"/>
  </r>
  <r>
    <s v="Sullivan, Kissy "/>
    <n v="10158"/>
    <n v="1"/>
    <n v="1"/>
    <n v="0"/>
    <n v="1"/>
    <n v="5"/>
    <n v="3"/>
    <n v="0"/>
    <n v="63682"/>
    <n v="0"/>
    <n v="18"/>
    <s v="Production Manager"/>
    <s v="MA"/>
    <n v="1776"/>
    <d v="1991-03-28T00:00:00"/>
    <x v="1"/>
    <s v="Married"/>
    <s v="US Citizen"/>
    <s v="No"/>
    <s v="Black or African American"/>
    <d v="2017-01-08T00:00:00"/>
    <s v=""/>
    <s v="N/A-StillEmployed"/>
    <s v="Active"/>
    <x v="0"/>
    <s v="Janet King"/>
    <n v="2"/>
    <x v="1"/>
    <x v="1"/>
    <n v="3.73"/>
    <x v="2"/>
    <n v="0"/>
    <d v="2026-01-24T00:00:00"/>
    <n v="0"/>
    <n v="12"/>
    <n v="1"/>
    <n v="35.5"/>
    <x v="1"/>
    <n v="9.6999999999999993"/>
    <x v="0"/>
    <n v="5"/>
  </r>
  <r>
    <s v="Sullivan, Timothy"/>
    <n v="10117"/>
    <n v="1"/>
    <n v="1"/>
    <n v="1"/>
    <n v="1"/>
    <n v="5"/>
    <n v="3"/>
    <n v="0"/>
    <n v="63025"/>
    <n v="0"/>
    <n v="19"/>
    <s v="Production Technician I"/>
    <s v="MA"/>
    <n v="2747"/>
    <d v="1995-10-07T00:00:00"/>
    <x v="0"/>
    <s v="Married"/>
    <s v="US Citizen"/>
    <s v="Yes"/>
    <s v="White"/>
    <d v="2023-01-05T00:00:00"/>
    <s v=""/>
    <s v="N/A-StillEmployed"/>
    <s v="Active"/>
    <x v="0"/>
    <s v="Michael Albert"/>
    <n v="22"/>
    <x v="2"/>
    <x v="1"/>
    <n v="4.3600000000000003"/>
    <x v="0"/>
    <n v="0"/>
    <d v="2026-01-24T00:00:00"/>
    <n v="0"/>
    <n v="10"/>
    <n v="1"/>
    <n v="30.8"/>
    <x v="0"/>
    <n v="3.7"/>
    <x v="1"/>
    <n v="4"/>
  </r>
  <r>
    <s v="Sutwell, Barbara"/>
    <n v="10209"/>
    <n v="0"/>
    <n v="0"/>
    <n v="0"/>
    <n v="1"/>
    <n v="5"/>
    <n v="3"/>
    <n v="0"/>
    <n v="59238"/>
    <n v="0"/>
    <n v="19"/>
    <s v="Production Technician I"/>
    <s v="MA"/>
    <n v="2718"/>
    <d v="1981-08-15T00:00:00"/>
    <x v="1"/>
    <s v="Single"/>
    <s v="Eligible NonCitizen"/>
    <s v="No"/>
    <s v="Asian"/>
    <d v="2020-05-14T00:00:00"/>
    <s v=""/>
    <s v="N/A-StillEmployed"/>
    <s v="Active"/>
    <x v="0"/>
    <s v="Elijiah Gray"/>
    <n v="16"/>
    <x v="1"/>
    <x v="1"/>
    <n v="3.4"/>
    <x v="0"/>
    <n v="0"/>
    <d v="2026-01-31T00:00:00"/>
    <n v="0"/>
    <n v="13"/>
    <n v="1"/>
    <n v="45"/>
    <x v="3"/>
    <n v="6.3"/>
    <x v="0"/>
    <n v="5"/>
  </r>
  <r>
    <s v="Szabo, Andrew"/>
    <n v="10024"/>
    <n v="0"/>
    <n v="0"/>
    <n v="1"/>
    <n v="1"/>
    <n v="4"/>
    <n v="4"/>
    <n v="0"/>
    <n v="92989"/>
    <n v="0"/>
    <n v="24"/>
    <s v="Software Engineer"/>
    <s v="MA"/>
    <n v="2140"/>
    <d v="1996-05-06T00:00:00"/>
    <x v="0"/>
    <s v="Single"/>
    <s v="US Citizen"/>
    <s v="No"/>
    <s v="White"/>
    <d v="2022-07-07T00:00:00"/>
    <s v=""/>
    <s v="N/A-StillEmployed"/>
    <s v="Active"/>
    <x v="2"/>
    <s v="Alex Sweetwater"/>
    <n v="10"/>
    <x v="0"/>
    <x v="0"/>
    <n v="4.5"/>
    <x v="0"/>
    <n v="5"/>
    <d v="2026-02-18T00:00:00"/>
    <n v="0"/>
    <n v="1"/>
    <n v="1"/>
    <n v="30.3"/>
    <x v="0"/>
    <n v="4.0999999999999996"/>
    <x v="1"/>
    <n v="4"/>
  </r>
  <r>
    <s v="Tannen, Biff"/>
    <n v="10173"/>
    <n v="1"/>
    <n v="1"/>
    <n v="1"/>
    <n v="1"/>
    <n v="3"/>
    <n v="3"/>
    <n v="0"/>
    <n v="90100"/>
    <n v="0"/>
    <n v="4"/>
    <s v="BI Developer"/>
    <s v="MA"/>
    <n v="2134"/>
    <d v="2000-10-24T00:00:00"/>
    <x v="0"/>
    <s v="Married"/>
    <s v="US Citizen"/>
    <s v="No"/>
    <s v="White"/>
    <d v="2025-04-20T00:00:00"/>
    <s v=""/>
    <s v="N/A-StillEmployed"/>
    <s v="Active"/>
    <x v="1"/>
    <s v="Brian Champaigne"/>
    <n v="13"/>
    <x v="1"/>
    <x v="1"/>
    <n v="3.4"/>
    <x v="1"/>
    <n v="6"/>
    <d v="2026-01-02T00:00:00"/>
    <n v="0"/>
    <n v="14"/>
    <n v="1"/>
    <n v="25.8"/>
    <x v="0"/>
    <n v="1.4"/>
    <x v="3"/>
    <n v="2"/>
  </r>
  <r>
    <s v="Tavares, Desiree  "/>
    <n v="10221"/>
    <n v="1"/>
    <n v="1"/>
    <n v="0"/>
    <n v="5"/>
    <n v="5"/>
    <n v="3"/>
    <n v="1"/>
    <n v="60754"/>
    <n v="1"/>
    <n v="19"/>
    <s v="Production Technician I"/>
    <s v="MA"/>
    <n v="1801"/>
    <d v="1988-04-03T00:00:00"/>
    <x v="1"/>
    <s v="Married"/>
    <s v="Non-Citizen"/>
    <s v="No"/>
    <s v="Black or African American"/>
    <d v="2017-04-27T00:00:00"/>
    <d v="2021-04-01T00:00:00"/>
    <s v="Another position"/>
    <s v="Voluntarily Terminated"/>
    <x v="0"/>
    <s v="Webster Butler"/>
    <n v="39"/>
    <x v="4"/>
    <x v="1"/>
    <n v="4.5"/>
    <x v="0"/>
    <n v="0"/>
    <d v="2019-02-15T00:00:00"/>
    <n v="0"/>
    <n v="11"/>
    <n v="0"/>
    <n v="38.4"/>
    <x v="1"/>
    <n v="9.4"/>
    <x v="0"/>
    <n v="5"/>
  </r>
  <r>
    <s v="Tejeda, Lenora "/>
    <n v="10146"/>
    <n v="1"/>
    <n v="1"/>
    <n v="0"/>
    <n v="5"/>
    <n v="5"/>
    <n v="3"/>
    <n v="0"/>
    <n v="72202"/>
    <n v="1"/>
    <n v="20"/>
    <s v="Production Technician II"/>
    <s v="MA"/>
    <n v="2129"/>
    <d v="1966-05-24T00:00:00"/>
    <x v="1"/>
    <s v="Married"/>
    <s v="US Citizen"/>
    <s v="No"/>
    <s v="White"/>
    <d v="2019-05-16T00:00:00"/>
    <d v="2025-07-08T00:00:00"/>
    <s v="Another position"/>
    <s v="Voluntarily Terminated"/>
    <x v="0"/>
    <s v="Elijiah Gray"/>
    <n v="16"/>
    <x v="2"/>
    <x v="1"/>
    <n v="3.93"/>
    <x v="1"/>
    <n v="0"/>
    <d v="2024-04-18T00:00:00"/>
    <n v="0"/>
    <n v="3"/>
    <n v="0"/>
    <n v="60.3"/>
    <x v="4"/>
    <n v="7.3"/>
    <x v="0"/>
    <n v="5"/>
  </r>
  <r>
    <s v="Terry, Sharlene "/>
    <n v="10161"/>
    <n v="0"/>
    <n v="0"/>
    <n v="0"/>
    <n v="1"/>
    <n v="6"/>
    <n v="3"/>
    <n v="0"/>
    <n v="58370"/>
    <n v="0"/>
    <n v="3"/>
    <s v="Area Sales Manager"/>
    <s v="OR"/>
    <n v="97756"/>
    <d v="1978-05-07T00:00:00"/>
    <x v="1"/>
    <s v="Single"/>
    <s v="US Citizen"/>
    <s v="No"/>
    <s v="Black or African American"/>
    <d v="2022-09-29T00:00:00"/>
    <s v=""/>
    <s v="N/A-StillEmployed"/>
    <s v="Active"/>
    <x v="4"/>
    <s v="Lynn Daneault"/>
    <n v="21"/>
    <x v="1"/>
    <x v="1"/>
    <n v="3.69"/>
    <x v="1"/>
    <n v="0"/>
    <d v="2026-01-28T00:00:00"/>
    <n v="0"/>
    <n v="18"/>
    <n v="1"/>
    <n v="48.3"/>
    <x v="3"/>
    <n v="3.8"/>
    <x v="1"/>
    <n v="4"/>
  </r>
  <r>
    <s v="Theamstern, Sophia"/>
    <n v="10141"/>
    <n v="0"/>
    <n v="0"/>
    <n v="0"/>
    <n v="5"/>
    <n v="5"/>
    <n v="3"/>
    <n v="0"/>
    <n v="48413"/>
    <n v="1"/>
    <n v="19"/>
    <s v="Production Technician I"/>
    <s v="MA"/>
    <n v="2066"/>
    <d v="1978-05-09T00:00:00"/>
    <x v="1"/>
    <s v="Single"/>
    <s v="US Citizen"/>
    <s v="No"/>
    <s v="White"/>
    <d v="2019-07-05T00:00:00"/>
    <d v="2024-09-05T00:00:00"/>
    <s v="return to school"/>
    <s v="Voluntarily Terminated"/>
    <x v="0"/>
    <s v="Amy Dunn"/>
    <n v="11"/>
    <x v="1"/>
    <x v="1"/>
    <n v="3.98"/>
    <x v="2"/>
    <n v="0"/>
    <d v="2023-03-02T00:00:00"/>
    <n v="0"/>
    <n v="1"/>
    <n v="0"/>
    <n v="48.3"/>
    <x v="3"/>
    <n v="7.1"/>
    <x v="0"/>
    <n v="5"/>
  </r>
  <r>
    <s v="Thibaud, Kenneth"/>
    <n v="10268"/>
    <n v="0"/>
    <n v="4"/>
    <n v="1"/>
    <n v="5"/>
    <n v="5"/>
    <n v="3"/>
    <n v="0"/>
    <n v="67176"/>
    <n v="1"/>
    <n v="20"/>
    <s v="Production Technician II"/>
    <s v="MA"/>
    <n v="2472"/>
    <d v="1988-09-16T00:00:00"/>
    <x v="0"/>
    <s v="Widowed"/>
    <s v="US Citizen"/>
    <s v="No"/>
    <s v="White"/>
    <d v="2015-06-25T00:00:00"/>
    <d v="2018-08-30T00:00:00"/>
    <s v="military"/>
    <s v="Voluntarily Terminated"/>
    <x v="0"/>
    <s v="Webster Butler"/>
    <n v="39"/>
    <x v="8"/>
    <x v="1"/>
    <n v="4.0999999999999996"/>
    <x v="2"/>
    <n v="0"/>
    <d v="2017-07-14T00:00:00"/>
    <n v="0"/>
    <n v="15"/>
    <n v="0"/>
    <n v="37.799999999999997"/>
    <x v="1"/>
    <n v="11.2"/>
    <x v="0"/>
    <n v="5"/>
  </r>
  <r>
    <s v="Tippett, Jeanette"/>
    <n v="10123"/>
    <n v="0"/>
    <n v="2"/>
    <n v="0"/>
    <n v="1"/>
    <n v="5"/>
    <n v="3"/>
    <n v="0"/>
    <n v="56339"/>
    <n v="0"/>
    <n v="19"/>
    <s v="Production Technician I"/>
    <s v="MA"/>
    <n v="2093"/>
    <d v="1980-06-05T00:00:00"/>
    <x v="1"/>
    <s v="Divorced"/>
    <s v="US Citizen"/>
    <s v="No"/>
    <s v="Black or African American"/>
    <d v="2021-02-18T00:00:00"/>
    <s v=""/>
    <s v="N/A-StillEmployed"/>
    <s v="Active"/>
    <x v="0"/>
    <s v="Brannon Miller"/>
    <n v="12"/>
    <x v="1"/>
    <x v="1"/>
    <n v="4.21"/>
    <x v="0"/>
    <n v="0"/>
    <d v="2026-01-14T00:00:00"/>
    <n v="0"/>
    <n v="4"/>
    <n v="1"/>
    <n v="46.2"/>
    <x v="3"/>
    <n v="5.6"/>
    <x v="0"/>
    <n v="5"/>
  </r>
  <r>
    <s v="Torrence, Jack"/>
    <n v="10013"/>
    <n v="0"/>
    <n v="3"/>
    <n v="1"/>
    <n v="1"/>
    <n v="6"/>
    <n v="4"/>
    <n v="0"/>
    <n v="64397"/>
    <n v="0"/>
    <n v="3"/>
    <s v="Area Sales Manager"/>
    <s v="ND"/>
    <n v="58782"/>
    <d v="1981-01-15T00:00:00"/>
    <x v="0"/>
    <s v="Separated"/>
    <s v="US Citizen"/>
    <s v="No"/>
    <s v="White"/>
    <d v="2014-01-09T00:00:00"/>
    <s v=""/>
    <s v="N/A-StillEmployed"/>
    <s v="Active"/>
    <x v="4"/>
    <s v="Lynn Daneault"/>
    <n v="21"/>
    <x v="1"/>
    <x v="0"/>
    <n v="4.0999999999999996"/>
    <x v="1"/>
    <n v="0"/>
    <d v="2026-01-04T00:00:00"/>
    <n v="0"/>
    <n v="6"/>
    <n v="1"/>
    <n v="45.7"/>
    <x v="3"/>
    <n v="12.7"/>
    <x v="0"/>
    <n v="5"/>
  </r>
  <r>
    <s v="Trang, Mei"/>
    <n v="10287"/>
    <n v="0"/>
    <n v="0"/>
    <n v="0"/>
    <n v="1"/>
    <n v="5"/>
    <n v="2"/>
    <n v="0"/>
    <n v="63025"/>
    <n v="0"/>
    <n v="19"/>
    <s v="Production Technician I"/>
    <s v="MA"/>
    <n v="2021"/>
    <d v="1996-05-16T00:00:00"/>
    <x v="1"/>
    <s v="Single"/>
    <s v="US Citizen"/>
    <s v="No"/>
    <s v="White"/>
    <d v="2022-02-17T00:00:00"/>
    <s v=""/>
    <s v="N/A-StillEmployed"/>
    <s v="Active"/>
    <x v="0"/>
    <s v="David Stanley"/>
    <n v="14"/>
    <x v="0"/>
    <x v="2"/>
    <n v="2.44"/>
    <x v="0"/>
    <n v="0"/>
    <d v="2026-02-11T00:00:00"/>
    <n v="4"/>
    <n v="18"/>
    <n v="1"/>
    <n v="30.3"/>
    <x v="0"/>
    <n v="4.5999999999999996"/>
    <x v="1"/>
    <n v="4"/>
  </r>
  <r>
    <s v="Tredinnick, Neville "/>
    <n v="10044"/>
    <n v="1"/>
    <n v="1"/>
    <n v="1"/>
    <n v="5"/>
    <n v="3"/>
    <n v="3"/>
    <n v="0"/>
    <n v="75281"/>
    <n v="1"/>
    <n v="15"/>
    <s v="Network Engineer"/>
    <s v="MA"/>
    <n v="1420"/>
    <d v="2001-05-05T00:00:00"/>
    <x v="0"/>
    <s v="Married"/>
    <s v="US Citizen"/>
    <s v="No"/>
    <s v="White"/>
    <d v="2023-01-05T00:00:00"/>
    <d v="2024-02-12T00:00:00"/>
    <s v="medical issues"/>
    <s v="Voluntarily Terminated"/>
    <x v="1"/>
    <s v="Peter Monroe"/>
    <n v="7"/>
    <x v="6"/>
    <x v="1"/>
    <n v="5"/>
    <x v="1"/>
    <n v="5"/>
    <d v="2022-04-15T00:00:00"/>
    <n v="0"/>
    <n v="11"/>
    <n v="0"/>
    <n v="25.3"/>
    <x v="0"/>
    <n v="3.7"/>
    <x v="1"/>
    <n v="4"/>
  </r>
  <r>
    <s v="True, Edward"/>
    <n v="10102"/>
    <n v="0"/>
    <n v="0"/>
    <n v="1"/>
    <n v="5"/>
    <n v="4"/>
    <n v="3"/>
    <n v="1"/>
    <n v="100416"/>
    <n v="1"/>
    <n v="24"/>
    <s v="Software Engineer"/>
    <s v="MA"/>
    <n v="2451"/>
    <d v="1996-06-14T00:00:00"/>
    <x v="0"/>
    <s v="Single"/>
    <s v="Non-Citizen"/>
    <s v="No"/>
    <s v="Black or African American"/>
    <d v="2021-02-18T00:00:00"/>
    <d v="2026-04-15T00:00:00"/>
    <s v="medical issues"/>
    <s v="Voluntarily Terminated"/>
    <x v="2"/>
    <s v="Alex Sweetwater"/>
    <n v="10"/>
    <x v="4"/>
    <x v="1"/>
    <n v="4.5999999999999996"/>
    <x v="1"/>
    <n v="4"/>
    <d v="2024-02-12T00:00:00"/>
    <n v="0"/>
    <n v="9"/>
    <n v="0"/>
    <n v="30.2"/>
    <x v="0"/>
    <n v="5.6"/>
    <x v="0"/>
    <n v="5"/>
  </r>
  <r>
    <s v="Trzeciak, Cybil"/>
    <n v="10270"/>
    <n v="0"/>
    <n v="0"/>
    <n v="0"/>
    <n v="5"/>
    <n v="5"/>
    <n v="3"/>
    <n v="0"/>
    <n v="74813"/>
    <n v="1"/>
    <n v="20"/>
    <s v="Production Technician II"/>
    <s v="MA"/>
    <n v="1778"/>
    <d v="1998-03-15T00:00:00"/>
    <x v="1"/>
    <s v="Single"/>
    <s v="US Citizen"/>
    <s v="No"/>
    <s v="White"/>
    <d v="2019-01-10T00:00:00"/>
    <d v="2022-07-02T00:00:00"/>
    <s v="unhappy"/>
    <s v="Voluntarily Terminated"/>
    <x v="0"/>
    <s v="Amy Dunn"/>
    <n v="11"/>
    <x v="0"/>
    <x v="1"/>
    <n v="4.4000000000000004"/>
    <x v="1"/>
    <n v="0"/>
    <d v="2021-01-05T00:00:00"/>
    <n v="0"/>
    <n v="5"/>
    <n v="0"/>
    <n v="28.5"/>
    <x v="0"/>
    <n v="7.7"/>
    <x v="0"/>
    <n v="5"/>
  </r>
  <r>
    <s v="Turpin, Jumil"/>
    <n v="10045"/>
    <n v="1"/>
    <n v="1"/>
    <n v="1"/>
    <n v="1"/>
    <n v="3"/>
    <n v="3"/>
    <n v="0"/>
    <n v="76029"/>
    <n v="0"/>
    <n v="15"/>
    <s v="Network Engineer"/>
    <s v="MA"/>
    <n v="2343"/>
    <d v="1982-03-31T00:00:00"/>
    <x v="0"/>
    <s v="Married"/>
    <s v="Eligible NonCitizen"/>
    <s v="No"/>
    <s v="White"/>
    <d v="2023-03-30T00:00:00"/>
    <s v=""/>
    <s v="N/A-StillEmployed"/>
    <s v="Active"/>
    <x v="1"/>
    <s v="Peter Monroe"/>
    <n v="7"/>
    <x v="3"/>
    <x v="1"/>
    <n v="5"/>
    <x v="2"/>
    <n v="7"/>
    <d v="2026-01-14T00:00:00"/>
    <n v="0"/>
    <n v="8"/>
    <n v="1"/>
    <n v="44.5"/>
    <x v="1"/>
    <n v="3.5"/>
    <x v="1"/>
    <n v="4"/>
  </r>
  <r>
    <s v="Valentin,Jackie"/>
    <n v="10205"/>
    <n v="1"/>
    <n v="1"/>
    <n v="0"/>
    <n v="1"/>
    <n v="6"/>
    <n v="3"/>
    <n v="0"/>
    <n v="57859"/>
    <n v="0"/>
    <n v="3"/>
    <s v="Area Sales Manager"/>
    <s v="AZ"/>
    <n v="85006"/>
    <d v="2004-05-23T00:00:00"/>
    <x v="1"/>
    <s v="Married"/>
    <s v="US Citizen"/>
    <s v="No"/>
    <s v="Two or more races"/>
    <d v="2019-07-05T00:00:00"/>
    <s v=""/>
    <s v="N/A-StillEmployed"/>
    <s v="Active"/>
    <x v="4"/>
    <s v="John Smith"/>
    <n v="17"/>
    <x v="1"/>
    <x v="1"/>
    <n v="2.81"/>
    <x v="1"/>
    <n v="0"/>
    <d v="2026-01-17T00:00:00"/>
    <n v="0"/>
    <n v="16"/>
    <n v="1"/>
    <n v="22.3"/>
    <x v="2"/>
    <n v="7.1"/>
    <x v="0"/>
    <n v="5"/>
  </r>
  <r>
    <s v="Veera, Abdellah "/>
    <n v="10014"/>
    <n v="0"/>
    <n v="2"/>
    <n v="1"/>
    <n v="5"/>
    <n v="5"/>
    <n v="4"/>
    <n v="0"/>
    <n v="58523"/>
    <n v="1"/>
    <n v="19"/>
    <s v="Production Technician I"/>
    <s v="MA"/>
    <n v="2171"/>
    <d v="2000-01-31T00:00:00"/>
    <x v="0"/>
    <s v="Divorced"/>
    <s v="US Citizen"/>
    <s v="No"/>
    <s v="White"/>
    <d v="2020-08-13T00:00:00"/>
    <d v="2024-02-05T00:00:00"/>
    <s v="maternity leave - did not return"/>
    <s v="Voluntarily Terminated"/>
    <x v="0"/>
    <s v="Kissy Sullivan"/>
    <n v="20"/>
    <x v="0"/>
    <x v="0"/>
    <n v="4.5"/>
    <x v="0"/>
    <n v="0"/>
    <d v="2023-02-01T00:00:00"/>
    <n v="0"/>
    <n v="15"/>
    <n v="0"/>
    <n v="26.7"/>
    <x v="0"/>
    <n v="6"/>
    <x v="0"/>
    <n v="5"/>
  </r>
  <r>
    <s v="Vega, Vincent"/>
    <n v="10144"/>
    <n v="0"/>
    <n v="2"/>
    <n v="1"/>
    <n v="1"/>
    <n v="5"/>
    <n v="3"/>
    <n v="0"/>
    <n v="88976"/>
    <n v="0"/>
    <n v="17"/>
    <s v="Production Manager"/>
    <s v="MA"/>
    <n v="2169"/>
    <d v="1981-10-10T00:00:00"/>
    <x v="0"/>
    <s v="Divorced"/>
    <s v="US Citizen"/>
    <s v="No"/>
    <s v="White"/>
    <d v="2019-08-01T00:00:00"/>
    <s v=""/>
    <s v="N/A-StillEmployed"/>
    <s v="Active"/>
    <x v="0"/>
    <s v="Janet King"/>
    <n v="2"/>
    <x v="3"/>
    <x v="1"/>
    <n v="3.93"/>
    <x v="1"/>
    <n v="0"/>
    <d v="2026-02-27T00:00:00"/>
    <n v="0"/>
    <n v="19"/>
    <n v="1"/>
    <n v="44.8"/>
    <x v="1"/>
    <n v="7"/>
    <x v="0"/>
    <n v="5"/>
  </r>
  <r>
    <s v="Villanueva, Noah"/>
    <n v="10253"/>
    <n v="0"/>
    <n v="0"/>
    <n v="1"/>
    <n v="1"/>
    <n v="6"/>
    <n v="3"/>
    <n v="0"/>
    <n v="55875"/>
    <n v="0"/>
    <n v="3"/>
    <s v="Area Sales Manager"/>
    <s v="ME"/>
    <n v="4063"/>
    <d v="2002-07-11T00:00:00"/>
    <x v="0"/>
    <s v="Single"/>
    <s v="US Citizen"/>
    <s v="No"/>
    <s v="Asian"/>
    <d v="2020-03-05T00:00:00"/>
    <s v=""/>
    <s v="N/A-StillEmployed"/>
    <s v="Active"/>
    <x v="4"/>
    <s v="John Smith"/>
    <n v="17"/>
    <x v="7"/>
    <x v="1"/>
    <n v="4.5"/>
    <x v="2"/>
    <n v="0"/>
    <d v="2026-01-18T00:00:00"/>
    <n v="0"/>
    <n v="11"/>
    <n v="1"/>
    <n v="24.1"/>
    <x v="2"/>
    <n v="6.5"/>
    <x v="0"/>
    <n v="5"/>
  </r>
  <r>
    <s v="Voldemort, Lord"/>
    <n v="10118"/>
    <n v="1"/>
    <n v="1"/>
    <n v="1"/>
    <n v="4"/>
    <n v="3"/>
    <n v="3"/>
    <n v="0"/>
    <n v="113999"/>
    <n v="1"/>
    <n v="8"/>
    <s v="Database Administrator"/>
    <s v="MA"/>
    <n v="1960"/>
    <d v="1999-08-07T00:00:00"/>
    <x v="0"/>
    <s v="Married"/>
    <s v="US Citizen"/>
    <s v="No"/>
    <s v="Black or African American"/>
    <d v="2023-02-16T00:00:00"/>
    <d v="2025-02-22T00:00:00"/>
    <s v="no-call, no-show"/>
    <s v="Terminated for Cause"/>
    <x v="1"/>
    <s v="Simon Roup"/>
    <n v="4"/>
    <x v="3"/>
    <x v="1"/>
    <n v="4.33"/>
    <x v="1"/>
    <n v="7"/>
    <d v="2024-02-15T00:00:00"/>
    <n v="0"/>
    <n v="9"/>
    <n v="0"/>
    <n v="27"/>
    <x v="0"/>
    <n v="3.6"/>
    <x v="1"/>
    <n v="4"/>
  </r>
  <r>
    <s v="Volk, Colleen"/>
    <n v="10022"/>
    <n v="1"/>
    <n v="1"/>
    <n v="0"/>
    <n v="4"/>
    <n v="5"/>
    <n v="4"/>
    <n v="0"/>
    <n v="49773"/>
    <n v="1"/>
    <n v="19"/>
    <s v="Production Technician I"/>
    <s v="MA"/>
    <n v="2747"/>
    <d v="1999-06-03T00:00:00"/>
    <x v="1"/>
    <s v="Married"/>
    <s v="US Citizen"/>
    <s v="No"/>
    <s v="White"/>
    <d v="2019-09-26T00:00:00"/>
    <d v="2024-02-08T00:00:00"/>
    <s v="gross misconduct"/>
    <s v="Terminated for Cause"/>
    <x v="0"/>
    <s v="Kelley Spirea"/>
    <n v="18"/>
    <x v="2"/>
    <x v="0"/>
    <n v="4.3"/>
    <x v="0"/>
    <n v="0"/>
    <d v="2022-02-01T00:00:00"/>
    <n v="0"/>
    <n v="18"/>
    <n v="0"/>
    <n v="27.2"/>
    <x v="0"/>
    <n v="6.8"/>
    <x v="0"/>
    <n v="5"/>
  </r>
  <r>
    <s v="Von Massenbach, Anna"/>
    <n v="10183"/>
    <n v="0"/>
    <n v="0"/>
    <n v="0"/>
    <n v="2"/>
    <n v="5"/>
    <n v="3"/>
    <n v="0"/>
    <n v="62068"/>
    <n v="0"/>
    <n v="19"/>
    <s v="Production Technician I"/>
    <s v="MA"/>
    <n v="2124"/>
    <d v="1998-04-06T00:00:00"/>
    <x v="1"/>
    <s v="Single"/>
    <s v="US Citizen"/>
    <s v="No"/>
    <s v="White"/>
    <d v="2023-07-05T00:00:00"/>
    <s v=""/>
    <s v="N/A-StillEmployed"/>
    <s v="Active"/>
    <x v="0"/>
    <s v="Michael Albert"/>
    <n v="22"/>
    <x v="0"/>
    <x v="1"/>
    <n v="3.21"/>
    <x v="1"/>
    <n v="0"/>
    <d v="2026-01-29T00:00:00"/>
    <n v="0"/>
    <n v="7"/>
    <n v="1"/>
    <n v="28.4"/>
    <x v="0"/>
    <n v="3.1"/>
    <x v="1"/>
    <n v="4"/>
  </r>
  <r>
    <s v="Walker, Roger"/>
    <n v="10190"/>
    <n v="0"/>
    <n v="0"/>
    <n v="1"/>
    <n v="1"/>
    <n v="5"/>
    <n v="3"/>
    <n v="0"/>
    <n v="66541"/>
    <n v="0"/>
    <n v="20"/>
    <s v="Production Technician II"/>
    <s v="MA"/>
    <n v="2459"/>
    <d v="1989-02-10T00:00:00"/>
    <x v="0"/>
    <s v="Single"/>
    <s v="US Citizen"/>
    <s v="No"/>
    <s v="Black or African American"/>
    <d v="2022-08-18T00:00:00"/>
    <s v=""/>
    <s v="N/A-StillEmployed"/>
    <s v="Active"/>
    <x v="0"/>
    <s v="Ketsia Liebig"/>
    <n v="19"/>
    <x v="3"/>
    <x v="1"/>
    <n v="3.11"/>
    <x v="0"/>
    <n v="0"/>
    <d v="2026-02-12T00:00:00"/>
    <n v="0"/>
    <n v="4"/>
    <n v="1"/>
    <n v="37.6"/>
    <x v="1"/>
    <n v="4"/>
    <x v="1"/>
    <n v="4"/>
  </r>
  <r>
    <s v="Wallace, Courtney  E"/>
    <n v="10274"/>
    <n v="1"/>
    <n v="1"/>
    <n v="0"/>
    <n v="5"/>
    <n v="5"/>
    <n v="3"/>
    <n v="1"/>
    <n v="80512"/>
    <n v="1"/>
    <n v="18"/>
    <s v="Production Manager"/>
    <s v="MA"/>
    <n v="2478"/>
    <d v="1968-11-14T00:00:00"/>
    <x v="1"/>
    <s v="Married"/>
    <s v="US Citizen"/>
    <s v="No"/>
    <s v="Black or African American"/>
    <d v="2019-09-26T00:00:00"/>
    <d v="2020-01-02T00:00:00"/>
    <s v="Another position"/>
    <s v="Voluntarily Terminated"/>
    <x v="0"/>
    <s v="Janet King"/>
    <n v="2"/>
    <x v="4"/>
    <x v="1"/>
    <n v="4.5"/>
    <x v="1"/>
    <n v="0"/>
    <d v="2019-01-02T00:00:00"/>
    <n v="0"/>
    <n v="5"/>
    <n v="0"/>
    <n v="57.8"/>
    <x v="4"/>
    <n v="6.8"/>
    <x v="0"/>
    <n v="5"/>
  </r>
  <r>
    <s v="Wallace, Theresa"/>
    <n v="10293"/>
    <n v="0"/>
    <n v="0"/>
    <n v="0"/>
    <n v="5"/>
    <n v="5"/>
    <n v="2"/>
    <n v="0"/>
    <n v="50274"/>
    <n v="1"/>
    <n v="19"/>
    <s v="Production Technician I"/>
    <s v="MA"/>
    <n v="1887"/>
    <d v="1993-08-02T00:00:00"/>
    <x v="1"/>
    <s v="Single"/>
    <s v="US Citizen"/>
    <s v="No"/>
    <s v="White"/>
    <d v="2020-08-13T00:00:00"/>
    <d v="2023-09-01T00:00:00"/>
    <s v="career change"/>
    <s v="Voluntarily Terminated"/>
    <x v="0"/>
    <s v="Elijiah Gray"/>
    <n v="16"/>
    <x v="6"/>
    <x v="2"/>
    <n v="2.5"/>
    <x v="1"/>
    <n v="0"/>
    <d v="2021-09-05T00:00:00"/>
    <n v="6"/>
    <n v="13"/>
    <n v="0"/>
    <n v="33"/>
    <x v="0"/>
    <n v="6"/>
    <x v="0"/>
    <n v="5"/>
  </r>
  <r>
    <s v="Wang, Charlie"/>
    <n v="10172"/>
    <n v="0"/>
    <n v="0"/>
    <n v="1"/>
    <n v="1"/>
    <n v="3"/>
    <n v="3"/>
    <n v="0"/>
    <n v="84903"/>
    <n v="0"/>
    <n v="22"/>
    <s v="Senior BI Developer"/>
    <s v="MA"/>
    <n v="1887"/>
    <d v="1994-07-08T00:00:00"/>
    <x v="0"/>
    <s v="Single"/>
    <s v="US Citizen"/>
    <s v="No"/>
    <s v="Asian"/>
    <d v="2025-02-15T00:00:00"/>
    <s v=""/>
    <s v="N/A-StillEmployed"/>
    <s v="Active"/>
    <x v="1"/>
    <s v="Brian Champaigne"/>
    <n v="13"/>
    <x v="1"/>
    <x v="1"/>
    <n v="3.42"/>
    <x v="2"/>
    <n v="7"/>
    <d v="2026-01-04T00:00:00"/>
    <n v="0"/>
    <n v="17"/>
    <n v="1"/>
    <n v="32.1"/>
    <x v="0"/>
    <n v="1.6"/>
    <x v="3"/>
    <n v="2"/>
  </r>
  <r>
    <s v="Warfield, Sarah"/>
    <n v="10127"/>
    <n v="0"/>
    <n v="4"/>
    <n v="0"/>
    <n v="1"/>
    <n v="3"/>
    <n v="3"/>
    <n v="0"/>
    <n v="107226"/>
    <n v="0"/>
    <n v="28"/>
    <s v="Sr. Network Engineer"/>
    <s v="MA"/>
    <n v="2453"/>
    <d v="1991-05-02T00:00:00"/>
    <x v="1"/>
    <s v="Widowed"/>
    <s v="US Citizen"/>
    <s v="No"/>
    <s v="Asian"/>
    <d v="2023-03-30T00:00:00"/>
    <s v=""/>
    <s v="N/A-StillEmployed"/>
    <s v="Active"/>
    <x v="1"/>
    <s v="Peter Monroe"/>
    <n v="7"/>
    <x v="3"/>
    <x v="1"/>
    <n v="4.2"/>
    <x v="2"/>
    <n v="8"/>
    <d v="2026-02-05T00:00:00"/>
    <n v="0"/>
    <n v="7"/>
    <n v="1"/>
    <n v="35.299999999999997"/>
    <x v="1"/>
    <n v="3.5"/>
    <x v="1"/>
    <n v="4"/>
  </r>
  <r>
    <s v="Whittier, Scott"/>
    <n v="10072"/>
    <n v="0"/>
    <n v="0"/>
    <n v="1"/>
    <n v="5"/>
    <n v="5"/>
    <n v="3"/>
    <n v="0"/>
    <n v="58371"/>
    <n v="1"/>
    <n v="19"/>
    <s v="Production Technician I"/>
    <s v="MA"/>
    <n v="2030"/>
    <d v="2000-05-24T00:00:00"/>
    <x v="0"/>
    <s v="Single"/>
    <s v="US Citizen"/>
    <s v="Yes"/>
    <s v="White"/>
    <d v="2019-01-10T00:00:00"/>
    <d v="2022-05-15T00:00:00"/>
    <s v="hours"/>
    <s v="Voluntarily Terminated"/>
    <x v="0"/>
    <s v="Webster Butler"/>
    <n v="39"/>
    <x v="0"/>
    <x v="1"/>
    <n v="5"/>
    <x v="0"/>
    <n v="0"/>
    <d v="2021-05-15T00:00:00"/>
    <n v="0"/>
    <n v="11"/>
    <n v="0"/>
    <n v="26.3"/>
    <x v="0"/>
    <n v="7.7"/>
    <x v="0"/>
    <n v="5"/>
  </r>
  <r>
    <s v="Wilber, Barry"/>
    <n v="10048"/>
    <n v="1"/>
    <n v="1"/>
    <n v="1"/>
    <n v="5"/>
    <n v="5"/>
    <n v="3"/>
    <n v="0"/>
    <n v="55140"/>
    <n v="1"/>
    <n v="19"/>
    <s v="Production Technician I"/>
    <s v="MA"/>
    <n v="2324"/>
    <d v="1978-09-09T00:00:00"/>
    <x v="0"/>
    <s v="Married"/>
    <s v="Eligible NonCitizen"/>
    <s v="No"/>
    <s v="White"/>
    <d v="2019-05-16T00:00:00"/>
    <d v="2023-09-07T00:00:00"/>
    <s v="unhappy"/>
    <s v="Voluntarily Terminated"/>
    <x v="0"/>
    <s v="Amy Dunn"/>
    <n v="11"/>
    <x v="7"/>
    <x v="1"/>
    <n v="5"/>
    <x v="1"/>
    <n v="0"/>
    <d v="2022-02-15T00:00:00"/>
    <n v="0"/>
    <n v="7"/>
    <n v="0"/>
    <n v="47.8"/>
    <x v="3"/>
    <n v="7.3"/>
    <x v="0"/>
    <n v="5"/>
  </r>
  <r>
    <s v="Wilkes, Annie"/>
    <n v="10204"/>
    <n v="0"/>
    <n v="2"/>
    <n v="0"/>
    <n v="5"/>
    <n v="5"/>
    <n v="3"/>
    <n v="0"/>
    <n v="58062"/>
    <n v="1"/>
    <n v="19"/>
    <s v="Production Technician I"/>
    <s v="MA"/>
    <n v="1876"/>
    <d v="1996-07-30T00:00:00"/>
    <x v="1"/>
    <s v="Divorced"/>
    <s v="US Citizen"/>
    <s v="No"/>
    <s v="White"/>
    <d v="2019-01-10T00:00:00"/>
    <d v="2020-05-14T00:00:00"/>
    <s v="Another position"/>
    <s v="Voluntarily Terminated"/>
    <x v="0"/>
    <s v="Ketsia Liebig"/>
    <n v="19"/>
    <x v="2"/>
    <x v="1"/>
    <n v="3.6"/>
    <x v="0"/>
    <n v="0"/>
    <d v="2018-02-06T00:00:00"/>
    <n v="0"/>
    <n v="9"/>
    <n v="0"/>
    <n v="30.1"/>
    <x v="0"/>
    <n v="7.7"/>
    <x v="0"/>
    <n v="5"/>
  </r>
  <r>
    <s v="Williams, Jacquelyn  "/>
    <n v="10264"/>
    <n v="0"/>
    <n v="0"/>
    <n v="0"/>
    <n v="5"/>
    <n v="5"/>
    <n v="3"/>
    <n v="1"/>
    <n v="59728"/>
    <n v="1"/>
    <n v="19"/>
    <s v="Production Technician I"/>
    <s v="MA"/>
    <n v="2109"/>
    <d v="1982-10-02T00:00:00"/>
    <x v="1"/>
    <s v="Single"/>
    <s v="US Citizen"/>
    <s v="Yes"/>
    <s v="Black or African American"/>
    <d v="2020-01-09T00:00:00"/>
    <d v="2023-06-27T00:00:00"/>
    <s v="relocation out of area"/>
    <s v="Voluntarily Terminated"/>
    <x v="0"/>
    <s v="Ketsia Liebig"/>
    <n v="19"/>
    <x v="4"/>
    <x v="1"/>
    <n v="4.3"/>
    <x v="2"/>
    <n v="0"/>
    <d v="2021-06-02T00:00:00"/>
    <n v="0"/>
    <n v="16"/>
    <n v="0"/>
    <n v="43.8"/>
    <x v="1"/>
    <n v="6.7"/>
    <x v="0"/>
    <n v="5"/>
  </r>
  <r>
    <s v="Winthrop, Jordan  "/>
    <n v="10033"/>
    <n v="0"/>
    <n v="0"/>
    <n v="1"/>
    <n v="5"/>
    <n v="5"/>
    <n v="4"/>
    <n v="0"/>
    <n v="70507"/>
    <n v="1"/>
    <n v="20"/>
    <s v="Production Technician II"/>
    <s v="MA"/>
    <n v="2045"/>
    <d v="1971-11-07T00:00:00"/>
    <x v="0"/>
    <s v="Single"/>
    <s v="US Citizen"/>
    <s v="No"/>
    <s v="White"/>
    <d v="2021-01-07T00:00:00"/>
    <d v="2024-02-21T00:00:00"/>
    <s v="retiring"/>
    <s v="Voluntarily Terminated"/>
    <x v="0"/>
    <s v="Brannon Miller"/>
    <n v="12"/>
    <x v="0"/>
    <x v="0"/>
    <n v="5"/>
    <x v="1"/>
    <n v="0"/>
    <d v="2023-01-19T00:00:00"/>
    <n v="0"/>
    <n v="7"/>
    <n v="0"/>
    <n v="54.8"/>
    <x v="3"/>
    <n v="5.7"/>
    <x v="0"/>
    <n v="5"/>
  </r>
  <r>
    <s v="Wolk, Hang  T"/>
    <n v="10174"/>
    <n v="0"/>
    <n v="0"/>
    <n v="0"/>
    <n v="1"/>
    <n v="5"/>
    <n v="3"/>
    <n v="0"/>
    <n v="60446"/>
    <n v="0"/>
    <n v="20"/>
    <s v="Production Technician II"/>
    <s v="MA"/>
    <n v="2302"/>
    <d v="1998-04-20T00:00:00"/>
    <x v="1"/>
    <s v="Single"/>
    <s v="US Citizen"/>
    <s v="No"/>
    <s v="White"/>
    <d v="2022-09-29T00:00:00"/>
    <s v=""/>
    <s v="N/A-StillEmployed"/>
    <s v="Active"/>
    <x v="0"/>
    <s v="David Stanley"/>
    <n v="14"/>
    <x v="0"/>
    <x v="1"/>
    <n v="3.4"/>
    <x v="2"/>
    <n v="0"/>
    <d v="2026-02-21T00:00:00"/>
    <n v="0"/>
    <n v="14"/>
    <n v="1"/>
    <n v="28.4"/>
    <x v="0"/>
    <n v="3.8"/>
    <x v="1"/>
    <n v="4"/>
  </r>
  <r>
    <s v="Woodson, Jason"/>
    <n v="10135"/>
    <n v="0"/>
    <n v="0"/>
    <n v="1"/>
    <n v="1"/>
    <n v="5"/>
    <n v="3"/>
    <n v="0"/>
    <n v="65893"/>
    <n v="0"/>
    <n v="20"/>
    <s v="Production Technician II"/>
    <s v="MA"/>
    <n v="1810"/>
    <d v="1998-05-11T00:00:00"/>
    <x v="0"/>
    <s v="Single"/>
    <s v="US Citizen"/>
    <s v="No"/>
    <s v="White"/>
    <d v="2022-07-07T00:00:00"/>
    <s v=""/>
    <s v="N/A-StillEmployed"/>
    <s v="Active"/>
    <x v="0"/>
    <s v="Kissy Sullivan"/>
    <n v="20"/>
    <x v="0"/>
    <x v="1"/>
    <n v="4.07"/>
    <x v="2"/>
    <n v="0"/>
    <d v="2026-02-28T00:00:00"/>
    <n v="0"/>
    <n v="13"/>
    <n v="1"/>
    <n v="28.3"/>
    <x v="0"/>
    <n v="4.0999999999999996"/>
    <x v="1"/>
    <n v="4"/>
  </r>
  <r>
    <s v="Ybarra, Catherine "/>
    <n v="10301"/>
    <n v="0"/>
    <n v="0"/>
    <n v="0"/>
    <n v="5"/>
    <n v="5"/>
    <n v="1"/>
    <n v="0"/>
    <n v="48513"/>
    <n v="1"/>
    <n v="19"/>
    <s v="Production Technician I"/>
    <s v="MA"/>
    <n v="2458"/>
    <d v="1995-05-04T00:00:00"/>
    <x v="1"/>
    <s v="Single"/>
    <s v="US Citizen"/>
    <s v="No"/>
    <s v="Asian"/>
    <d v="2016-09-02T00:00:00"/>
    <d v="2023-09-29T00:00:00"/>
    <s v="Another position"/>
    <s v="Voluntarily Terminated"/>
    <x v="0"/>
    <s v="Brannon Miller"/>
    <n v="12"/>
    <x v="2"/>
    <x v="3"/>
    <n v="3.2"/>
    <x v="3"/>
    <n v="0"/>
    <d v="2022-09-02T00:00:00"/>
    <n v="5"/>
    <n v="4"/>
    <n v="0"/>
    <n v="31.3"/>
    <x v="0"/>
    <n v="9.8000000000000007"/>
    <x v="0"/>
    <n v="5"/>
  </r>
  <r>
    <s v="Zamora, Jennifer"/>
    <n v="10010"/>
    <n v="0"/>
    <n v="0"/>
    <n v="0"/>
    <n v="1"/>
    <n v="3"/>
    <n v="4"/>
    <n v="0"/>
    <n v="220450"/>
    <n v="0"/>
    <n v="6"/>
    <s v="CIO"/>
    <s v="MA"/>
    <n v="2067"/>
    <d v="1992-08-30T00:00:00"/>
    <x v="1"/>
    <s v="Single"/>
    <s v="US Citizen"/>
    <s v="No"/>
    <s v="White"/>
    <d v="2018-04-10T00:00:00"/>
    <s v=""/>
    <s v="N/A-StillEmployed"/>
    <s v="Active"/>
    <x v="1"/>
    <s v="Janet King"/>
    <n v="2"/>
    <x v="3"/>
    <x v="0"/>
    <n v="4.5999999999999996"/>
    <x v="0"/>
    <n v="6"/>
    <d v="2026-02-21T00:00:00"/>
    <n v="0"/>
    <n v="16"/>
    <n v="1"/>
    <n v="34"/>
    <x v="0"/>
    <n v="8.4"/>
    <x v="0"/>
    <n v="5"/>
  </r>
  <r>
    <s v="Zhou, Julia"/>
    <n v="10043"/>
    <n v="0"/>
    <n v="0"/>
    <n v="0"/>
    <n v="1"/>
    <n v="3"/>
    <n v="3"/>
    <n v="0"/>
    <n v="89292"/>
    <n v="0"/>
    <n v="9"/>
    <s v="Data Analyst"/>
    <s v="MA"/>
    <n v="2148"/>
    <d v="1992-02-24T00:00:00"/>
    <x v="1"/>
    <s v="Single"/>
    <s v="US Citizen"/>
    <s v="No"/>
    <s v="White"/>
    <d v="2023-03-30T00:00:00"/>
    <s v=""/>
    <s v="N/A-StillEmployed"/>
    <s v="Active"/>
    <x v="1"/>
    <s v="Simon Roup"/>
    <n v="4"/>
    <x v="3"/>
    <x v="1"/>
    <n v="5"/>
    <x v="1"/>
    <n v="5"/>
    <d v="2026-02-01T00:00:00"/>
    <n v="0"/>
    <n v="11"/>
    <n v="1"/>
    <n v="34.6"/>
    <x v="0"/>
    <n v="3.5"/>
    <x v="1"/>
    <n v="4"/>
  </r>
  <r>
    <s v="Zima, Colleen"/>
    <n v="10271"/>
    <n v="0"/>
    <n v="4"/>
    <n v="0"/>
    <n v="1"/>
    <n v="5"/>
    <n v="3"/>
    <n v="0"/>
    <n v="45046"/>
    <n v="0"/>
    <n v="19"/>
    <s v="Production Technician I"/>
    <s v="MA"/>
    <n v="1730"/>
    <d v="1991-08-17T00:00:00"/>
    <x v="1"/>
    <s v="Widowed"/>
    <s v="US Citizen"/>
    <s v="No"/>
    <s v="Asian"/>
    <d v="2022-09-29T00:00:00"/>
    <s v=""/>
    <s v="N/A-StillEmployed"/>
    <s v="Active"/>
    <x v="0"/>
    <s v="David Stanley"/>
    <n v="14"/>
    <x v="0"/>
    <x v="1"/>
    <n v="4.5"/>
    <x v="0"/>
    <n v="0"/>
    <d v="2026-01-30T00:00:00"/>
    <n v="0"/>
    <n v="2"/>
    <n v="1"/>
    <n v="35"/>
    <x v="1"/>
    <n v="3.8"/>
    <x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01382-00A1-A14A-9151-CB762179768E}" name="PivotTable5" cacheId="4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B36:E47" firstHeaderRow="1" firstDataRow="2" firstDataCol="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compact="0" outline="0" showAll="0"/>
    <pivotField compact="0" outline="0" showAll="0"/>
    <pivotField compact="0" outline="0" showAll="0"/>
    <pivotField compact="0" outline="0" showAll="0"/>
    <pivotField compact="0" outline="0" showAll="0"/>
    <pivotField compact="0" numFmtId="15"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items count="7">
        <item x="3"/>
        <item x="5"/>
        <item x="1"/>
        <item x="0"/>
        <item x="4"/>
        <item x="2"/>
        <item t="default"/>
      </items>
    </pivotField>
    <pivotField compact="0" outline="0" showAll="0"/>
    <pivotField compact="0" outline="0" showAll="0"/>
    <pivotField name="Recruitment Source" axis="axisRow" compact="0" outline="0" showAll="0">
      <items count="10">
        <item x="6"/>
        <item x="4"/>
        <item x="3"/>
        <item x="2"/>
        <item x="1"/>
        <item x="0"/>
        <item x="5"/>
        <item x="8"/>
        <item x="7"/>
        <item t="default"/>
      </items>
    </pivotField>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8"/>
  </rowFields>
  <rowItems count="10">
    <i>
      <x/>
    </i>
    <i>
      <x v="1"/>
    </i>
    <i>
      <x v="2"/>
    </i>
    <i>
      <x v="3"/>
    </i>
    <i>
      <x v="4"/>
    </i>
    <i>
      <x v="5"/>
    </i>
    <i>
      <x v="6"/>
    </i>
    <i>
      <x v="7"/>
    </i>
    <i>
      <x v="8"/>
    </i>
    <i t="grand">
      <x/>
    </i>
  </rowItems>
  <colFields count="1">
    <field x="16"/>
  </colFields>
  <colItems count="3">
    <i>
      <x/>
    </i>
    <i>
      <x v="1"/>
    </i>
    <i t="grand">
      <x/>
    </i>
  </colItems>
  <dataFields count="1">
    <dataField name="Sum of HC" fld="36" baseField="0" baseItem="0"/>
  </dataFields>
  <formats count="1">
    <format dxfId="16">
      <pivotArea dataOnly="0" labelOnly="1" grandCol="1" outline="0" fieldPosition="0"/>
    </format>
  </formats>
  <chartFormats count="5">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6" count="1" selected="0">
            <x v="0"/>
          </reference>
        </references>
      </pivotArea>
    </chartFormat>
    <chartFormat chart="3" format="1" series="1">
      <pivotArea type="data" outline="0" fieldPosition="0">
        <references count="2">
          <reference field="4294967294" count="1" selected="0">
            <x v="0"/>
          </reference>
          <reference field="16"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F8B99E-5302-D64A-BE1F-1E06099B234A}" name="PivotTable4"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N22:Q29" firstHeaderRow="1" firstDataRow="2" firstDataCol="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compact="0" outline="0" showAll="0"/>
    <pivotField compact="0" outline="0" showAll="0"/>
    <pivotField compact="0" outline="0" showAll="0"/>
    <pivotField compact="0" outline="0" showAll="0"/>
    <pivotField compact="0" outline="0" showAll="0"/>
    <pivotField compact="0" numFmtId="15"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items count="7">
        <item x="3"/>
        <item x="5"/>
        <item x="1"/>
        <item x="0"/>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dataField="1" compact="0" outline="0" showAll="0"/>
    <pivotField compact="0" outline="0" showAll="0"/>
    <pivotField name="Age Group" axis="axisRow" compact="0" outline="0" showAll="0">
      <items count="6">
        <item x="2"/>
        <item x="0"/>
        <item x="1"/>
        <item x="3"/>
        <item x="4"/>
        <item t="default"/>
      </items>
    </pivotField>
    <pivotField compact="0" outline="0" showAll="0"/>
    <pivotField compact="0" outline="0" showAll="0"/>
    <pivotField compact="0" outline="0" showAll="0"/>
  </pivotFields>
  <rowFields count="1">
    <field x="38"/>
  </rowFields>
  <rowItems count="6">
    <i>
      <x/>
    </i>
    <i>
      <x v="1"/>
    </i>
    <i>
      <x v="2"/>
    </i>
    <i>
      <x v="3"/>
    </i>
    <i>
      <x v="4"/>
    </i>
    <i t="grand">
      <x/>
    </i>
  </rowItems>
  <colFields count="1">
    <field x="16"/>
  </colFields>
  <colItems count="3">
    <i>
      <x/>
    </i>
    <i>
      <x v="1"/>
    </i>
    <i t="grand">
      <x/>
    </i>
  </colItems>
  <dataFields count="1">
    <dataField name="Sum of HC" fld="36" baseField="0" baseItem="0"/>
  </dataFields>
  <chartFormats count="1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3" format="0" series="1">
      <pivotArea type="data" outline="0" fieldPosition="0">
        <references count="2">
          <reference field="4294967294" count="1" selected="0">
            <x v="0"/>
          </reference>
          <reference field="16" count="1" selected="0">
            <x v="0"/>
          </reference>
        </references>
      </pivotArea>
    </chartFormat>
    <chartFormat chart="3" format="1" series="1">
      <pivotArea type="data" outline="0" fieldPosition="0">
        <references count="2">
          <reference field="4294967294" count="1" selected="0">
            <x v="0"/>
          </reference>
          <reference field="16" count="1" selected="0">
            <x v="1"/>
          </reference>
        </references>
      </pivotArea>
    </chartFormat>
    <chartFormat chart="6" format="0" series="1">
      <pivotArea type="data" outline="0" fieldPosition="0">
        <references count="2">
          <reference field="4294967294" count="1" selected="0">
            <x v="0"/>
          </reference>
          <reference field="16" count="1" selected="0">
            <x v="0"/>
          </reference>
        </references>
      </pivotArea>
    </chartFormat>
    <chartFormat chart="6" format="1" series="1">
      <pivotArea type="data" outline="0" fieldPosition="0">
        <references count="2">
          <reference field="4294967294" count="1" selected="0">
            <x v="0"/>
          </reference>
          <reference field="16" count="1" selected="0">
            <x v="1"/>
          </reference>
        </references>
      </pivotArea>
    </chartFormat>
    <chartFormat chart="3" format="2">
      <pivotArea type="data" outline="0" fieldPosition="0">
        <references count="3">
          <reference field="4294967294" count="1" selected="0">
            <x v="0"/>
          </reference>
          <reference field="16" count="1" selected="0">
            <x v="0"/>
          </reference>
          <reference field="38" count="1" selected="0">
            <x v="0"/>
          </reference>
        </references>
      </pivotArea>
    </chartFormat>
    <chartFormat chart="3" format="3">
      <pivotArea type="data" outline="0" fieldPosition="0">
        <references count="3">
          <reference field="4294967294" count="1" selected="0">
            <x v="0"/>
          </reference>
          <reference field="16" count="1" selected="0">
            <x v="0"/>
          </reference>
          <reference field="38" count="1" selected="0">
            <x v="1"/>
          </reference>
        </references>
      </pivotArea>
    </chartFormat>
    <chartFormat chart="3" format="4">
      <pivotArea type="data" outline="0" fieldPosition="0">
        <references count="3">
          <reference field="4294967294" count="1" selected="0">
            <x v="0"/>
          </reference>
          <reference field="16" count="1" selected="0">
            <x v="0"/>
          </reference>
          <reference field="38" count="1" selected="0">
            <x v="2"/>
          </reference>
        </references>
      </pivotArea>
    </chartFormat>
    <chartFormat chart="3" format="5">
      <pivotArea type="data" outline="0" fieldPosition="0">
        <references count="3">
          <reference field="4294967294" count="1" selected="0">
            <x v="0"/>
          </reference>
          <reference field="16" count="1" selected="0">
            <x v="0"/>
          </reference>
          <reference field="38" count="1" selected="0">
            <x v="3"/>
          </reference>
        </references>
      </pivotArea>
    </chartFormat>
    <chartFormat chart="3" format="6">
      <pivotArea type="data" outline="0" fieldPosition="0">
        <references count="3">
          <reference field="4294967294" count="1" selected="0">
            <x v="0"/>
          </reference>
          <reference field="16" count="1" selected="0">
            <x v="0"/>
          </reference>
          <reference field="38" count="1" selected="0">
            <x v="4"/>
          </reference>
        </references>
      </pivotArea>
    </chartFormat>
    <chartFormat chart="3" format="7">
      <pivotArea type="data" outline="0" fieldPosition="0">
        <references count="3">
          <reference field="4294967294" count="1" selected="0">
            <x v="0"/>
          </reference>
          <reference field="16" count="1" selected="0">
            <x v="1"/>
          </reference>
          <reference field="38" count="1" selected="0">
            <x v="0"/>
          </reference>
        </references>
      </pivotArea>
    </chartFormat>
    <chartFormat chart="3" format="8">
      <pivotArea type="data" outline="0" fieldPosition="0">
        <references count="3">
          <reference field="4294967294" count="1" selected="0">
            <x v="0"/>
          </reference>
          <reference field="16" count="1" selected="0">
            <x v="1"/>
          </reference>
          <reference field="38" count="1" selected="0">
            <x v="1"/>
          </reference>
        </references>
      </pivotArea>
    </chartFormat>
    <chartFormat chart="3" format="9">
      <pivotArea type="data" outline="0" fieldPosition="0">
        <references count="3">
          <reference field="4294967294" count="1" selected="0">
            <x v="0"/>
          </reference>
          <reference field="16" count="1" selected="0">
            <x v="1"/>
          </reference>
          <reference field="38" count="1" selected="0">
            <x v="2"/>
          </reference>
        </references>
      </pivotArea>
    </chartFormat>
    <chartFormat chart="3" format="10">
      <pivotArea type="data" outline="0" fieldPosition="0">
        <references count="3">
          <reference field="4294967294" count="1" selected="0">
            <x v="0"/>
          </reference>
          <reference field="16" count="1" selected="0">
            <x v="1"/>
          </reference>
          <reference field="38" count="1" selected="0">
            <x v="3"/>
          </reference>
        </references>
      </pivotArea>
    </chartFormat>
    <chartFormat chart="3" format="11">
      <pivotArea type="data" outline="0" fieldPosition="0">
        <references count="3">
          <reference field="4294967294" count="1" selected="0">
            <x v="0"/>
          </reference>
          <reference field="16" count="1" selected="0">
            <x v="1"/>
          </reference>
          <reference field="38" count="1" selected="0">
            <x v="4"/>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C789F5-8570-9B43-BF39-4172A7019CAD}" name="PivotTable2" cacheId="4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3">
  <location ref="K72:Q78" firstHeaderRow="1" firstDataRow="2" firstDataCol="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items count="7">
        <item x="3"/>
        <item x="5"/>
        <item x="1"/>
        <item x="0"/>
        <item x="4"/>
        <item x="2"/>
        <item t="default"/>
      </items>
    </pivotField>
    <pivotField compact="0" outline="0" showAll="0"/>
    <pivotField compact="0" outline="0" showAll="0"/>
    <pivotField compact="0" outline="0" showAll="0"/>
    <pivotField name="Performance Score" axis="axisRow" compact="0" outline="0" showAll="0" sortType="descending">
      <items count="5">
        <item x="3"/>
        <item x="2"/>
        <item x="1"/>
        <item x="0"/>
        <item t="default"/>
      </items>
    </pivotField>
    <pivotField compact="0" outline="0" showAll="0"/>
    <pivotField compact="0" outline="0" showAll="0"/>
    <pivotField compact="0" outline="0" showAll="0"/>
    <pivotField compact="0" numFmtId="15" outline="0" showAll="0"/>
    <pivotField compact="0" outline="0" showAll="0"/>
    <pivotField compact="0" outline="0" showAll="0"/>
    <pivotField dataField="1" compact="0" outline="0" showAll="0"/>
    <pivotField compact="0" outline="0" showAll="0"/>
    <pivotField compact="0" outline="0" showAll="0"/>
    <pivotField compact="0" outline="0" showAll="0"/>
    <pivotField axis="axisCol" compact="0" outline="0" showAll="0">
      <items count="6">
        <item x="4"/>
        <item x="0"/>
        <item x="3"/>
        <item x="2"/>
        <item x="1"/>
        <item t="default"/>
      </items>
    </pivotField>
    <pivotField compact="0" outline="0" showAll="0"/>
  </pivotFields>
  <rowFields count="1">
    <field x="29"/>
  </rowFields>
  <rowItems count="5">
    <i>
      <x/>
    </i>
    <i>
      <x v="1"/>
    </i>
    <i>
      <x v="2"/>
    </i>
    <i>
      <x v="3"/>
    </i>
    <i t="grand">
      <x/>
    </i>
  </rowItems>
  <colFields count="1">
    <field x="40"/>
  </colFields>
  <colItems count="6">
    <i>
      <x/>
    </i>
    <i>
      <x v="1"/>
    </i>
    <i>
      <x v="2"/>
    </i>
    <i>
      <x v="3"/>
    </i>
    <i>
      <x v="4"/>
    </i>
    <i t="grand">
      <x/>
    </i>
  </colItems>
  <dataFields count="1">
    <dataField name="Sum of HC" fld="36" baseField="0" baseItem="0"/>
  </dataFields>
  <formats count="1">
    <format dxfId="17">
      <pivotArea dataOnly="0" labelOnly="1" grandCol="1" outline="0" fieldPosition="0"/>
    </format>
  </formats>
  <chartFormats count="6">
    <chartFormat chart="0" format="4" series="1">
      <pivotArea type="data" outline="0" fieldPosition="0">
        <references count="1">
          <reference field="4294967294" count="1" selected="0">
            <x v="0"/>
          </reference>
        </references>
      </pivotArea>
    </chartFormat>
    <chartFormat chart="19" format="0" series="1">
      <pivotArea type="data" outline="0" fieldPosition="0">
        <references count="2">
          <reference field="4294967294" count="1" selected="0">
            <x v="0"/>
          </reference>
          <reference field="40" count="1" selected="0">
            <x v="0"/>
          </reference>
        </references>
      </pivotArea>
    </chartFormat>
    <chartFormat chart="19" format="1" series="1">
      <pivotArea type="data" outline="0" fieldPosition="0">
        <references count="2">
          <reference field="4294967294" count="1" selected="0">
            <x v="0"/>
          </reference>
          <reference field="40" count="1" selected="0">
            <x v="1"/>
          </reference>
        </references>
      </pivotArea>
    </chartFormat>
    <chartFormat chart="19" format="2" series="1">
      <pivotArea type="data" outline="0" fieldPosition="0">
        <references count="2">
          <reference field="4294967294" count="1" selected="0">
            <x v="0"/>
          </reference>
          <reference field="40" count="1" selected="0">
            <x v="2"/>
          </reference>
        </references>
      </pivotArea>
    </chartFormat>
    <chartFormat chart="19" format="3" series="1">
      <pivotArea type="data" outline="0" fieldPosition="0">
        <references count="2">
          <reference field="4294967294" count="1" selected="0">
            <x v="0"/>
          </reference>
          <reference field="40" count="1" selected="0">
            <x v="3"/>
          </reference>
        </references>
      </pivotArea>
    </chartFormat>
    <chartFormat chart="19" format="4" series="1">
      <pivotArea type="data" outline="0" fieldPosition="0">
        <references count="2">
          <reference field="4294967294" count="1" selected="0">
            <x v="0"/>
          </reference>
          <reference field="40" count="1" selected="0">
            <x v="4"/>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5BFBE-254C-A94A-94FF-41243B7F2B9C}" name="PivotTable1" cacheId="4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D12:G20" firstHeaderRow="1" firstDataRow="2" firstDataCol="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compact="0" outline="0" showAll="0"/>
    <pivotField compact="0" outline="0" showAll="0"/>
    <pivotField compact="0" outline="0" showAll="0"/>
    <pivotField compact="0" outline="0" showAll="0"/>
    <pivotField compact="0" outline="0" showAll="0"/>
    <pivotField compact="0" numFmtId="15"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axis="axisRow" compact="0" outline="0" showAll="0">
      <items count="7">
        <item x="3"/>
        <item x="5"/>
        <item x="1"/>
        <item x="0"/>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7">
    <i>
      <x/>
    </i>
    <i>
      <x v="1"/>
    </i>
    <i>
      <x v="2"/>
    </i>
    <i>
      <x v="3"/>
    </i>
    <i>
      <x v="4"/>
    </i>
    <i>
      <x v="5"/>
    </i>
    <i t="grand">
      <x/>
    </i>
  </rowItems>
  <colFields count="1">
    <field x="16"/>
  </colFields>
  <colItems count="3">
    <i>
      <x/>
    </i>
    <i>
      <x v="1"/>
    </i>
    <i t="grand">
      <x/>
    </i>
  </colItems>
  <dataFields count="1">
    <dataField name="Sum of HC" fld="36" baseField="0" baseItem="0"/>
  </dataFields>
  <chartFormats count="5">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3">
          <reference field="4294967294" count="1" selected="0">
            <x v="0"/>
          </reference>
          <reference field="16" count="1" selected="0">
            <x v="1"/>
          </reference>
          <reference field="25" count="1" selected="0">
            <x v="0"/>
          </reference>
        </references>
      </pivotArea>
    </chartFormat>
    <chartFormat chart="0" format="3">
      <pivotArea type="data" outline="0" fieldPosition="0">
        <references count="3">
          <reference field="4294967294" count="1" selected="0">
            <x v="0"/>
          </reference>
          <reference field="16" count="1" selected="0">
            <x v="1"/>
          </reference>
          <reference field="25" count="1" selected="0">
            <x v="5"/>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471CF6-3E5E-214D-89E4-3AC975462E1A}" name="PivotTable7" cacheId="4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1">
  <location ref="B60:H66" firstHeaderRow="1" firstDataRow="2" firstDataCol="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items count="7">
        <item x="3"/>
        <item x="5"/>
        <item x="1"/>
        <item x="0"/>
        <item x="4"/>
        <item x="2"/>
        <item t="default"/>
      </items>
    </pivotField>
    <pivotField compact="0" outline="0" showAll="0"/>
    <pivotField compact="0" outline="0" showAll="0"/>
    <pivotField compact="0" outline="0" showAll="0"/>
    <pivotField name="Performance Score" axis="axisRow" compact="0" outline="0" showAll="0" sortType="descending">
      <items count="5">
        <item x="3"/>
        <item x="2"/>
        <item x="1"/>
        <item x="0"/>
        <item t="default"/>
      </items>
    </pivotField>
    <pivotField compact="0" outline="0" showAll="0"/>
    <pivotField axis="axisCol" compact="0" outline="0" showAll="0">
      <items count="6">
        <item x="4"/>
        <item x="3"/>
        <item x="1"/>
        <item x="2"/>
        <item x="0"/>
        <item t="default"/>
      </items>
    </pivotField>
    <pivotField compact="0" outline="0" showAll="0"/>
    <pivotField compact="0" numFmtId="15"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9"/>
  </rowFields>
  <rowItems count="5">
    <i>
      <x/>
    </i>
    <i>
      <x v="1"/>
    </i>
    <i>
      <x v="2"/>
    </i>
    <i>
      <x v="3"/>
    </i>
    <i t="grand">
      <x/>
    </i>
  </rowItems>
  <colFields count="1">
    <field x="31"/>
  </colFields>
  <colItems count="6">
    <i>
      <x/>
    </i>
    <i>
      <x v="1"/>
    </i>
    <i>
      <x v="2"/>
    </i>
    <i>
      <x v="3"/>
    </i>
    <i>
      <x v="4"/>
    </i>
    <i t="grand">
      <x/>
    </i>
  </colItems>
  <dataFields count="1">
    <dataField name="Sum of HC" fld="36" baseField="0" baseItem="0"/>
  </dataFields>
  <formats count="1">
    <format dxfId="18">
      <pivotArea dataOnly="0" labelOnly="1" grandCol="1" outline="0" fieldPosition="0"/>
    </format>
  </formats>
  <chartFormats count="11">
    <chartFormat chart="0" format="4"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31" count="1" selected="0">
            <x v="0"/>
          </reference>
        </references>
      </pivotArea>
    </chartFormat>
    <chartFormat chart="14" format="1" series="1">
      <pivotArea type="data" outline="0" fieldPosition="0">
        <references count="2">
          <reference field="4294967294" count="1" selected="0">
            <x v="0"/>
          </reference>
          <reference field="31" count="1" selected="0">
            <x v="1"/>
          </reference>
        </references>
      </pivotArea>
    </chartFormat>
    <chartFormat chart="14" format="2" series="1">
      <pivotArea type="data" outline="0" fieldPosition="0">
        <references count="2">
          <reference field="4294967294" count="1" selected="0">
            <x v="0"/>
          </reference>
          <reference field="31" count="1" selected="0">
            <x v="2"/>
          </reference>
        </references>
      </pivotArea>
    </chartFormat>
    <chartFormat chart="14" format="3" series="1">
      <pivotArea type="data" outline="0" fieldPosition="0">
        <references count="2">
          <reference field="4294967294" count="1" selected="0">
            <x v="0"/>
          </reference>
          <reference field="31" count="1" selected="0">
            <x v="3"/>
          </reference>
        </references>
      </pivotArea>
    </chartFormat>
    <chartFormat chart="14" format="4" series="1">
      <pivotArea type="data" outline="0" fieldPosition="0">
        <references count="2">
          <reference field="4294967294" count="1" selected="0">
            <x v="0"/>
          </reference>
          <reference field="31" count="1" selected="0">
            <x v="4"/>
          </reference>
        </references>
      </pivotArea>
    </chartFormat>
    <chartFormat chart="19" format="0" series="1">
      <pivotArea type="data" outline="0" fieldPosition="0">
        <references count="2">
          <reference field="4294967294" count="1" selected="0">
            <x v="0"/>
          </reference>
          <reference field="31" count="1" selected="0">
            <x v="0"/>
          </reference>
        </references>
      </pivotArea>
    </chartFormat>
    <chartFormat chart="19" format="1" series="1">
      <pivotArea type="data" outline="0" fieldPosition="0">
        <references count="2">
          <reference field="4294967294" count="1" selected="0">
            <x v="0"/>
          </reference>
          <reference field="31" count="1" selected="0">
            <x v="1"/>
          </reference>
        </references>
      </pivotArea>
    </chartFormat>
    <chartFormat chart="19" format="2" series="1">
      <pivotArea type="data" outline="0" fieldPosition="0">
        <references count="2">
          <reference field="4294967294" count="1" selected="0">
            <x v="0"/>
          </reference>
          <reference field="31" count="1" selected="0">
            <x v="2"/>
          </reference>
        </references>
      </pivotArea>
    </chartFormat>
    <chartFormat chart="19" format="3" series="1">
      <pivotArea type="data" outline="0" fieldPosition="0">
        <references count="2">
          <reference field="4294967294" count="1" selected="0">
            <x v="0"/>
          </reference>
          <reference field="31" count="1" selected="0">
            <x v="3"/>
          </reference>
        </references>
      </pivotArea>
    </chartFormat>
    <chartFormat chart="19" format="4" series="1">
      <pivotArea type="data" outline="0" fieldPosition="0">
        <references count="2">
          <reference field="4294967294" count="1" selected="0">
            <x v="0"/>
          </reference>
          <reference field="31" count="1" selected="0">
            <x v="4"/>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F400F3-D8B7-9D47-A8E7-E7A0022BD36F}" name="PivotTable6" cacheId="4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4">
  <location ref="N49:Q56" firstHeaderRow="1" firstDataRow="2" firstDataCol="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compact="0" outline="0" showAll="0"/>
    <pivotField compact="0" outline="0" showAll="0"/>
    <pivotField compact="0" outline="0" showAll="0"/>
    <pivotField compact="0" outline="0" showAll="0"/>
    <pivotField compact="0" outline="0" showAll="0"/>
    <pivotField compact="0" numFmtId="15"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items count="7">
        <item x="3"/>
        <item x="5"/>
        <item x="1"/>
        <item x="0"/>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6">
        <item x="4"/>
        <item x="0"/>
        <item x="3"/>
        <item x="2"/>
        <item x="1"/>
        <item t="default"/>
      </items>
    </pivotField>
    <pivotField compact="0" outline="0" showAll="0"/>
  </pivotFields>
  <rowFields count="1">
    <field x="40"/>
  </rowFields>
  <rowItems count="6">
    <i>
      <x/>
    </i>
    <i>
      <x v="1"/>
    </i>
    <i>
      <x v="2"/>
    </i>
    <i>
      <x v="3"/>
    </i>
    <i>
      <x v="4"/>
    </i>
    <i t="grand">
      <x/>
    </i>
  </rowItems>
  <colFields count="1">
    <field x="16"/>
  </colFields>
  <colItems count="3">
    <i>
      <x/>
    </i>
    <i>
      <x v="1"/>
    </i>
    <i t="grand">
      <x/>
    </i>
  </colItems>
  <dataFields count="1">
    <dataField name="Sum of HC" fld="36" baseField="0" baseItem="0"/>
  </dataFields>
  <formats count="1">
    <format dxfId="19">
      <pivotArea dataOnly="0" labelOnly="1" grandCol="1" outline="0" fieldPosition="0"/>
    </format>
  </formats>
  <chartFormats count="7">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6" count="1" selected="0">
            <x v="0"/>
          </reference>
        </references>
      </pivotArea>
    </chartFormat>
    <chartFormat chart="3" format="1" series="1">
      <pivotArea type="data" outline="0" fieldPosition="0">
        <references count="2">
          <reference field="4294967294" count="1" selected="0">
            <x v="0"/>
          </reference>
          <reference field="16" count="1" selected="0">
            <x v="1"/>
          </reference>
        </references>
      </pivotArea>
    </chartFormat>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2EEDDE7-8F3A-744C-9DD6-9E6CA26FAE72}" autoFormatId="16" applyNumberFormats="0" applyBorderFormats="0" applyFontFormats="0" applyPatternFormats="0" applyAlignmentFormats="0" applyWidthHeightFormats="0">
  <queryTableRefresh nextId="46">
    <queryTableFields count="42">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37" name="Latest_DOB" tableColumnId="37"/>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Latest_DateofHire" tableColumnId="22"/>
      <queryTableField id="23" name="Latest_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test_PerformanceReview_Date" tableColumnId="34"/>
      <queryTableField id="35" name="DaysLateLast30" tableColumnId="35"/>
      <queryTableField id="36" name="Absences" tableColumnId="36"/>
      <queryTableField id="40" name="HC" tableColumnId="16"/>
      <queryTableField id="41" name="Age" tableColumnId="38"/>
      <queryTableField id="42" name="AgeGroup" tableColumnId="39"/>
      <queryTableField id="43" name="Tenure" tableColumnId="40"/>
      <queryTableField id="44" name="TenureGroup" tableColumnId="41"/>
      <queryTableField id="45" name="TenureScore"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048780-7625-C24E-8D6D-DDF062B06248}" sourceName="Department">
  <pivotTables>
    <pivotTable tabId="8" name="PivotTable1"/>
    <pivotTable tabId="8" name="PivotTable4"/>
    <pivotTable tabId="8" name="PivotTable5"/>
    <pivotTable tabId="8" name="PivotTable6"/>
    <pivotTable tabId="8" name="PivotTable7"/>
    <pivotTable tabId="8" name="PivotTable2"/>
  </pivotTables>
  <data>
    <tabular pivotCacheId="74901718">
      <items count="6">
        <i x="3" s="1"/>
        <i x="5"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7F2E6B0-046F-4644-8D39-0DBBF7D108ED}" cache="Slicer_Department" caption="Departmen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D85D64-87D0-AB4D-91BD-674EF0604310}" name="HRDataset" displayName="HRDataset" ref="A1:AP312" tableType="queryTable" totalsRowShown="0">
  <autoFilter ref="A1:AP312" xr:uid="{DBD85D64-87D0-AB4D-91BD-674EF0604310}"/>
  <tableColumns count="42">
    <tableColumn id="1" xr3:uid="{9384C1FD-68FB-3246-BB80-6409443C717B}" uniqueName="1" name="Employee_Name" queryTableFieldId="1" dataDxfId="33"/>
    <tableColumn id="2" xr3:uid="{C2135BE4-C646-F94B-BCAC-24F623C563B7}" uniqueName="2" name="EmpID" queryTableFieldId="2"/>
    <tableColumn id="3" xr3:uid="{66643F1F-62E5-8848-ADFF-94A6349C936B}" uniqueName="3" name="MarriedID" queryTableFieldId="3"/>
    <tableColumn id="4" xr3:uid="{F49370F0-A623-BE45-88CC-5D9FF1FAA21F}" uniqueName="4" name="MaritalStatusID" queryTableFieldId="4"/>
    <tableColumn id="5" xr3:uid="{E7844922-E716-C847-B610-271B365A61B1}" uniqueName="5" name="GenderID" queryTableFieldId="5"/>
    <tableColumn id="6" xr3:uid="{BFB34EC6-2AD1-274B-ADE4-EB681BF3E068}" uniqueName="6" name="EmpStatusID" queryTableFieldId="6"/>
    <tableColumn id="7" xr3:uid="{65E0F768-A269-F64A-AED0-268769E91601}" uniqueName="7" name="DeptID" queryTableFieldId="7"/>
    <tableColumn id="8" xr3:uid="{85885B7A-D53F-4E41-9414-B47C8E2B9136}" uniqueName="8" name="PerfScoreID" queryTableFieldId="8"/>
    <tableColumn id="9" xr3:uid="{63CBCF80-CA14-014C-A843-9E01E15429D2}" uniqueName="9" name="FromDiversityJobFairID" queryTableFieldId="9"/>
    <tableColumn id="10" xr3:uid="{ED03877F-E787-EB48-867B-8FD0EEBFC582}" uniqueName="10" name="Salary" queryTableFieldId="10" dataDxfId="8" dataCellStyle="Comma [0]"/>
    <tableColumn id="11" xr3:uid="{6ABF57A3-4727-C648-BF4E-A78B061B5975}" uniqueName="11" name="Termd" queryTableFieldId="11"/>
    <tableColumn id="12" xr3:uid="{CE7499F1-6539-B345-BFD3-59A7A80B3C72}" uniqueName="12" name="PositionID" queryTableFieldId="12"/>
    <tableColumn id="13" xr3:uid="{4F365280-EB0C-A246-B9D3-0C2A1E8B6A94}" uniqueName="13" name="Position" queryTableFieldId="13" dataDxfId="32"/>
    <tableColumn id="14" xr3:uid="{0FBC8978-DAFD-7B40-81BE-5B14063D99F1}" uniqueName="14" name="State" queryTableFieldId="14" dataDxfId="31"/>
    <tableColumn id="15" xr3:uid="{A915847C-E1DF-104B-8800-EF64C7EDA9EB}" uniqueName="15" name="Zip" queryTableFieldId="15"/>
    <tableColumn id="37" xr3:uid="{8D5B28F1-A65F-0D41-90E9-75CE6C991049}" uniqueName="37" name="Latest_DOB" queryTableFieldId="37" dataDxfId="7"/>
    <tableColumn id="17" xr3:uid="{46A3B2ED-7A65-C741-955D-C6096AC07AD3}" uniqueName="17" name="Sex" queryTableFieldId="17" dataDxfId="30"/>
    <tableColumn id="18" xr3:uid="{CEBFEE81-C506-474B-BF91-769D2C1F4D65}" uniqueName="18" name="MaritalDesc" queryTableFieldId="18" dataDxfId="29"/>
    <tableColumn id="19" xr3:uid="{6E067A84-DB9D-2F4C-B297-D9C6D5D5E664}" uniqueName="19" name="CitizenDesc" queryTableFieldId="19" dataDxfId="28"/>
    <tableColumn id="20" xr3:uid="{F6AE70C7-4EEB-0442-9BC5-2AEA45FBF076}" uniqueName="20" name="HispanicLatino" queryTableFieldId="20" dataDxfId="27"/>
    <tableColumn id="21" xr3:uid="{8AF160E2-FF08-054E-845F-7FA5E643378A}" uniqueName="21" name="RaceDesc" queryTableFieldId="21" dataDxfId="26"/>
    <tableColumn id="22" xr3:uid="{358BA460-20E7-9F40-8065-914EF7D8270D}" uniqueName="22" name="Latest_DateofHire" queryTableFieldId="22" dataDxfId="6"/>
    <tableColumn id="23" xr3:uid="{0EE70439-A7F6-C64F-9CE1-1B9335774408}" uniqueName="23" name="Latest_DateofTermination" queryTableFieldId="23" dataDxfId="5"/>
    <tableColumn id="24" xr3:uid="{8EBF763C-B24B-494F-85D5-88522EA0526B}" uniqueName="24" name="TermReason" queryTableFieldId="24" dataDxfId="25"/>
    <tableColumn id="25" xr3:uid="{9A3898FC-3DCC-9348-B203-7674ECE31D23}" uniqueName="25" name="EmploymentStatus" queryTableFieldId="25" dataDxfId="24"/>
    <tableColumn id="26" xr3:uid="{837DA7C8-6828-B54A-95FC-F17FA463E2C1}" uniqueName="26" name="Department" queryTableFieldId="26" dataDxfId="23"/>
    <tableColumn id="27" xr3:uid="{4B667AF4-FFAF-4848-BA78-32F177B8E403}" uniqueName="27" name="ManagerName" queryTableFieldId="27" dataDxfId="22"/>
    <tableColumn id="28" xr3:uid="{49574A11-8FBB-B24A-9F93-2447DEE749B1}" uniqueName="28" name="ManagerID" queryTableFieldId="28"/>
    <tableColumn id="29" xr3:uid="{418C0B96-A504-2946-83B8-B390EE6DBE44}" uniqueName="29" name="RecruitmentSource" queryTableFieldId="29" dataDxfId="21"/>
    <tableColumn id="30" xr3:uid="{9E5095FE-4095-CB40-8DD9-D8DE9915AB6B}" uniqueName="30" name="PerformanceScore" queryTableFieldId="30" dataDxfId="20"/>
    <tableColumn id="31" xr3:uid="{02AACD8D-B7D6-F64C-849C-ADE61F924297}" uniqueName="31" name="EngagementSurvey" queryTableFieldId="31"/>
    <tableColumn id="32" xr3:uid="{22C72550-7BF9-F149-9143-21E0474C1271}" uniqueName="32" name="EmpSatisfaction" queryTableFieldId="32"/>
    <tableColumn id="33" xr3:uid="{3CE8697B-F5CF-0748-9ABC-189FC801B749}" uniqueName="33" name="SpecialProjectsCount" queryTableFieldId="33"/>
    <tableColumn id="34" xr3:uid="{D507608A-004D-D648-8350-BD0524E861CA}" uniqueName="34" name="Latest_PerformanceReview_Date" queryTableFieldId="34" dataDxfId="4"/>
    <tableColumn id="35" xr3:uid="{085823FB-19D3-E048-8456-8098C41C5053}" uniqueName="35" name="DaysLateLast30" queryTableFieldId="35"/>
    <tableColumn id="36" xr3:uid="{2D6A118B-1866-5B45-B8C8-C71344453F13}" uniqueName="36" name="Absences" queryTableFieldId="36"/>
    <tableColumn id="16" xr3:uid="{B9CB1E64-B000-6544-A5C2-B5E719440911}" uniqueName="16" name="HC" queryTableFieldId="40"/>
    <tableColumn id="38" xr3:uid="{F57C4CCC-E96B-2146-BA73-EE00C9E85A56}" uniqueName="38" name="Age" queryTableFieldId="41"/>
    <tableColumn id="39" xr3:uid="{27D2FE3C-B861-B348-A37E-94C060CCFF2E}" uniqueName="39" name="AgeGroup" queryTableFieldId="42"/>
    <tableColumn id="40" xr3:uid="{94E9A82A-D0D7-E34E-B1D3-29B0E2277D8F}" uniqueName="40" name="Tenure" queryTableFieldId="43"/>
    <tableColumn id="41" xr3:uid="{F42B6B94-D554-4148-A1EB-7E54CA5EA9CB}" uniqueName="41" name="TenureGroup" queryTableFieldId="44"/>
    <tableColumn id="42" xr3:uid="{A0E6C805-E319-654E-8FB2-17EE98ABCC49}" uniqueName="42" name="TenureScore" queryTableFieldId="4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A59DF-5900-8340-8538-8B62B46E6A0B}" name="current_date" displayName="current_date" ref="B3:B4" totalsRowShown="0" headerRowDxfId="36" dataDxfId="35">
  <autoFilter ref="B3:B4" xr:uid="{AA3A59DF-5900-8340-8538-8B62B46E6A0B}"/>
  <tableColumns count="1">
    <tableColumn id="1" xr3:uid="{42E37C99-8E9C-DA4F-9E43-DA360C4A8213}" name="Date" dataDxfId="3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84EBAD-9BFB-304F-BBD4-7420EA1C5485}" name="emp_path" displayName="emp_path" ref="I3:I4" totalsRowShown="0" headerRowDxfId="14" dataDxfId="13">
  <autoFilter ref="I3:I4" xr:uid="{B184EBAD-9BFB-304F-BBD4-7420EA1C5485}"/>
  <tableColumns count="1">
    <tableColumn id="1" xr3:uid="{C9D2628B-3B48-924A-85E2-59963FC2DE0F}" name="Path" dataDxfId="1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0554-58E6-5045-83A7-B27641891DC3}">
  <dimension ref="A1:AP312"/>
  <sheetViews>
    <sheetView zoomScale="80" zoomScaleNormal="80" workbookViewId="0">
      <selection activeCell="E15" sqref="E15"/>
    </sheetView>
  </sheetViews>
  <sheetFormatPr baseColWidth="10" defaultRowHeight="16" x14ac:dyDescent="0.2"/>
  <cols>
    <col min="1" max="1" width="23.1640625" bestFit="1" customWidth="1"/>
    <col min="2" max="2" width="10" bestFit="1" customWidth="1"/>
    <col min="3" max="3" width="12.5" bestFit="1" customWidth="1"/>
    <col min="4" max="4" width="17" bestFit="1" customWidth="1"/>
    <col min="5" max="5" width="12.33203125" bestFit="1" customWidth="1"/>
    <col min="6" max="6" width="15.1640625" bestFit="1" customWidth="1"/>
    <col min="7" max="7" width="10.1640625" bestFit="1" customWidth="1"/>
    <col min="8" max="8" width="14.33203125" bestFit="1" customWidth="1"/>
    <col min="9" max="9" width="23.5" bestFit="1" customWidth="1"/>
    <col min="10" max="10" width="10.83203125" style="2" bestFit="1" customWidth="1"/>
    <col min="11" max="11" width="9.83203125" bestFit="1" customWidth="1"/>
    <col min="12" max="12" width="12.6640625" bestFit="1" customWidth="1"/>
    <col min="13" max="13" width="26.6640625" bestFit="1" customWidth="1"/>
    <col min="14" max="14" width="9" bestFit="1" customWidth="1"/>
    <col min="15" max="15" width="7" bestFit="1" customWidth="1"/>
    <col min="16" max="16" width="14.5" bestFit="1" customWidth="1"/>
    <col min="17" max="17" width="7.5" bestFit="1" customWidth="1"/>
    <col min="18" max="18" width="14.33203125" bestFit="1" customWidth="1"/>
    <col min="19" max="19" width="16.6640625" bestFit="1" customWidth="1"/>
    <col min="20" max="20" width="16.83203125" bestFit="1" customWidth="1"/>
    <col min="21" max="21" width="28.6640625" bestFit="1" customWidth="1"/>
    <col min="22" max="22" width="19.5" bestFit="1" customWidth="1"/>
    <col min="23" max="23" width="26.5" bestFit="1" customWidth="1"/>
    <col min="24" max="24" width="27" bestFit="1" customWidth="1"/>
    <col min="25" max="25" width="20.33203125" bestFit="1" customWidth="1"/>
    <col min="26" max="26" width="19" bestFit="1" customWidth="1"/>
    <col min="27" max="27" width="18.33203125" bestFit="1" customWidth="1"/>
    <col min="28" max="28" width="13.33203125" bestFit="1" customWidth="1"/>
    <col min="29" max="29" width="21.5" bestFit="1" customWidth="1"/>
    <col min="30" max="31" width="20.33203125" bestFit="1" customWidth="1"/>
    <col min="32" max="32" width="18.1640625" bestFit="1" customWidth="1"/>
    <col min="33" max="33" width="22.5" bestFit="1" customWidth="1"/>
    <col min="34" max="34" width="32.83203125" bestFit="1" customWidth="1"/>
    <col min="35" max="35" width="17.83203125" bestFit="1" customWidth="1"/>
    <col min="36" max="36" width="12.5" bestFit="1" customWidth="1"/>
    <col min="37" max="37" width="7" bestFit="1" customWidth="1"/>
    <col min="38" max="38" width="7.5" bestFit="1" customWidth="1"/>
    <col min="39" max="39" width="12.5" bestFit="1" customWidth="1"/>
    <col min="40" max="40" width="10.1640625" bestFit="1" customWidth="1"/>
    <col min="41" max="41" width="15.1640625" bestFit="1" customWidth="1"/>
    <col min="42" max="42" width="15" bestFit="1" customWidth="1"/>
  </cols>
  <sheetData>
    <row r="1" spans="1:42" x14ac:dyDescent="0.2">
      <c r="A1" t="s">
        <v>8</v>
      </c>
      <c r="B1" t="s">
        <v>9</v>
      </c>
      <c r="C1" t="s">
        <v>10</v>
      </c>
      <c r="D1" t="s">
        <v>11</v>
      </c>
      <c r="E1" t="s">
        <v>12</v>
      </c>
      <c r="F1" t="s">
        <v>13</v>
      </c>
      <c r="G1" t="s">
        <v>14</v>
      </c>
      <c r="H1" t="s">
        <v>15</v>
      </c>
      <c r="I1" t="s">
        <v>16</v>
      </c>
      <c r="J1" s="2" t="s">
        <v>17</v>
      </c>
      <c r="K1" t="s">
        <v>18</v>
      </c>
      <c r="L1" t="s">
        <v>19</v>
      </c>
      <c r="M1" t="s">
        <v>20</v>
      </c>
      <c r="N1" t="s">
        <v>21</v>
      </c>
      <c r="O1" t="s">
        <v>22</v>
      </c>
      <c r="P1" t="s">
        <v>503</v>
      </c>
      <c r="Q1" t="s">
        <v>23</v>
      </c>
      <c r="R1" t="s">
        <v>24</v>
      </c>
      <c r="S1" t="s">
        <v>25</v>
      </c>
      <c r="T1" t="s">
        <v>26</v>
      </c>
      <c r="U1" t="s">
        <v>27</v>
      </c>
      <c r="V1" t="s">
        <v>28</v>
      </c>
      <c r="W1" t="s">
        <v>29</v>
      </c>
      <c r="X1" t="s">
        <v>30</v>
      </c>
      <c r="Y1" t="s">
        <v>31</v>
      </c>
      <c r="Z1" t="s">
        <v>1</v>
      </c>
      <c r="AA1" t="s">
        <v>32</v>
      </c>
      <c r="AB1" t="s">
        <v>33</v>
      </c>
      <c r="AC1" t="s">
        <v>34</v>
      </c>
      <c r="AD1" t="s">
        <v>35</v>
      </c>
      <c r="AE1" t="s">
        <v>36</v>
      </c>
      <c r="AF1" t="s">
        <v>37</v>
      </c>
      <c r="AG1" t="s">
        <v>38</v>
      </c>
      <c r="AH1" t="s">
        <v>39</v>
      </c>
      <c r="AI1" t="s">
        <v>40</v>
      </c>
      <c r="AJ1" t="s">
        <v>41</v>
      </c>
      <c r="AK1" t="s">
        <v>516</v>
      </c>
      <c r="AL1" t="s">
        <v>2</v>
      </c>
      <c r="AM1" t="s">
        <v>517</v>
      </c>
      <c r="AN1" t="s">
        <v>519</v>
      </c>
      <c r="AO1" t="s">
        <v>520</v>
      </c>
      <c r="AP1" t="s">
        <v>526</v>
      </c>
    </row>
    <row r="2" spans="1:42" x14ac:dyDescent="0.2">
      <c r="A2" t="s">
        <v>42</v>
      </c>
      <c r="B2">
        <v>10026</v>
      </c>
      <c r="C2">
        <v>0</v>
      </c>
      <c r="D2">
        <v>0</v>
      </c>
      <c r="E2">
        <v>1</v>
      </c>
      <c r="F2">
        <v>1</v>
      </c>
      <c r="G2">
        <v>5</v>
      </c>
      <c r="H2">
        <v>4</v>
      </c>
      <c r="I2">
        <v>0</v>
      </c>
      <c r="J2" s="2">
        <v>62506</v>
      </c>
      <c r="K2">
        <v>0</v>
      </c>
      <c r="L2">
        <v>19</v>
      </c>
      <c r="M2" t="s">
        <v>43</v>
      </c>
      <c r="N2" t="s">
        <v>44</v>
      </c>
      <c r="O2">
        <v>1960</v>
      </c>
      <c r="P2" s="1">
        <v>35256</v>
      </c>
      <c r="Q2" t="s">
        <v>45</v>
      </c>
      <c r="R2" t="s">
        <v>46</v>
      </c>
      <c r="S2" t="s">
        <v>47</v>
      </c>
      <c r="T2" t="s">
        <v>48</v>
      </c>
      <c r="U2" t="s">
        <v>49</v>
      </c>
      <c r="V2" s="1">
        <v>43651</v>
      </c>
      <c r="W2" s="1" t="s">
        <v>492</v>
      </c>
      <c r="X2" t="s">
        <v>50</v>
      </c>
      <c r="Y2" t="s">
        <v>51</v>
      </c>
      <c r="Z2" t="s">
        <v>52</v>
      </c>
      <c r="AA2" t="s">
        <v>53</v>
      </c>
      <c r="AB2">
        <v>22</v>
      </c>
      <c r="AC2" t="s">
        <v>54</v>
      </c>
      <c r="AD2" t="s">
        <v>55</v>
      </c>
      <c r="AE2">
        <v>4.5999999999999996</v>
      </c>
      <c r="AF2">
        <v>5</v>
      </c>
      <c r="AG2">
        <v>0</v>
      </c>
      <c r="AH2" s="1">
        <v>46039</v>
      </c>
      <c r="AI2">
        <v>0</v>
      </c>
      <c r="AJ2">
        <v>1</v>
      </c>
      <c r="AK2">
        <v>1</v>
      </c>
      <c r="AL2">
        <v>30.1</v>
      </c>
      <c r="AM2" t="s">
        <v>500</v>
      </c>
      <c r="AN2">
        <v>7.1</v>
      </c>
      <c r="AO2" t="s">
        <v>521</v>
      </c>
      <c r="AP2">
        <v>5</v>
      </c>
    </row>
    <row r="3" spans="1:42" x14ac:dyDescent="0.2">
      <c r="A3" t="s">
        <v>56</v>
      </c>
      <c r="B3">
        <v>10084</v>
      </c>
      <c r="C3">
        <v>1</v>
      </c>
      <c r="D3">
        <v>1</v>
      </c>
      <c r="E3">
        <v>1</v>
      </c>
      <c r="F3">
        <v>5</v>
      </c>
      <c r="G3">
        <v>3</v>
      </c>
      <c r="H3">
        <v>3</v>
      </c>
      <c r="I3">
        <v>0</v>
      </c>
      <c r="J3" s="2">
        <v>104437</v>
      </c>
      <c r="K3">
        <v>1</v>
      </c>
      <c r="L3">
        <v>27</v>
      </c>
      <c r="M3" t="s">
        <v>57</v>
      </c>
      <c r="N3" t="s">
        <v>44</v>
      </c>
      <c r="O3">
        <v>2148</v>
      </c>
      <c r="P3" s="1">
        <v>32268</v>
      </c>
      <c r="Q3" t="s">
        <v>45</v>
      </c>
      <c r="R3" t="s">
        <v>58</v>
      </c>
      <c r="S3" t="s">
        <v>47</v>
      </c>
      <c r="T3" t="s">
        <v>48</v>
      </c>
      <c r="U3" t="s">
        <v>49</v>
      </c>
      <c r="V3" s="1">
        <v>45015</v>
      </c>
      <c r="W3" s="1">
        <v>45459</v>
      </c>
      <c r="X3" t="s">
        <v>59</v>
      </c>
      <c r="Y3" t="s">
        <v>60</v>
      </c>
      <c r="Z3" t="s">
        <v>61</v>
      </c>
      <c r="AA3" t="s">
        <v>62</v>
      </c>
      <c r="AB3">
        <v>4</v>
      </c>
      <c r="AC3" t="s">
        <v>63</v>
      </c>
      <c r="AD3" t="s">
        <v>64</v>
      </c>
      <c r="AE3">
        <v>4.96</v>
      </c>
      <c r="AF3">
        <v>3</v>
      </c>
      <c r="AG3">
        <v>6</v>
      </c>
      <c r="AH3" s="1">
        <v>44981</v>
      </c>
      <c r="AI3">
        <v>0</v>
      </c>
      <c r="AJ3">
        <v>17</v>
      </c>
      <c r="AK3">
        <v>0</v>
      </c>
      <c r="AL3">
        <v>38.299999999999997</v>
      </c>
      <c r="AM3" t="s">
        <v>501</v>
      </c>
      <c r="AN3">
        <v>3.5</v>
      </c>
      <c r="AO3" t="s">
        <v>508</v>
      </c>
      <c r="AP3">
        <v>4</v>
      </c>
    </row>
    <row r="4" spans="1:42" x14ac:dyDescent="0.2">
      <c r="A4" t="s">
        <v>65</v>
      </c>
      <c r="B4">
        <v>10196</v>
      </c>
      <c r="C4">
        <v>1</v>
      </c>
      <c r="D4">
        <v>1</v>
      </c>
      <c r="E4">
        <v>0</v>
      </c>
      <c r="F4">
        <v>5</v>
      </c>
      <c r="G4">
        <v>5</v>
      </c>
      <c r="H4">
        <v>3</v>
      </c>
      <c r="I4">
        <v>0</v>
      </c>
      <c r="J4" s="2">
        <v>64955</v>
      </c>
      <c r="K4">
        <v>1</v>
      </c>
      <c r="L4">
        <v>20</v>
      </c>
      <c r="M4" t="s">
        <v>66</v>
      </c>
      <c r="N4" t="s">
        <v>44</v>
      </c>
      <c r="O4">
        <v>1810</v>
      </c>
      <c r="P4" s="1">
        <v>37153</v>
      </c>
      <c r="Q4" t="s">
        <v>67</v>
      </c>
      <c r="R4" t="s">
        <v>58</v>
      </c>
      <c r="S4" t="s">
        <v>47</v>
      </c>
      <c r="T4" t="s">
        <v>48</v>
      </c>
      <c r="U4" t="s">
        <v>49</v>
      </c>
      <c r="V4" s="1">
        <v>43651</v>
      </c>
      <c r="W4" s="1">
        <v>44098</v>
      </c>
      <c r="X4" t="s">
        <v>68</v>
      </c>
      <c r="Y4" t="s">
        <v>60</v>
      </c>
      <c r="Z4" t="s">
        <v>52</v>
      </c>
      <c r="AA4" t="s">
        <v>69</v>
      </c>
      <c r="AB4">
        <v>20</v>
      </c>
      <c r="AC4" t="s">
        <v>54</v>
      </c>
      <c r="AD4" t="s">
        <v>64</v>
      </c>
      <c r="AE4">
        <v>3.02</v>
      </c>
      <c r="AF4">
        <v>3</v>
      </c>
      <c r="AG4">
        <v>0</v>
      </c>
      <c r="AH4" s="1">
        <v>43600</v>
      </c>
      <c r="AI4">
        <v>0</v>
      </c>
      <c r="AJ4">
        <v>3</v>
      </c>
      <c r="AK4">
        <v>0</v>
      </c>
      <c r="AL4">
        <v>24.8</v>
      </c>
      <c r="AM4" t="s">
        <v>499</v>
      </c>
      <c r="AN4">
        <v>7.1</v>
      </c>
      <c r="AO4" t="s">
        <v>521</v>
      </c>
      <c r="AP4">
        <v>5</v>
      </c>
    </row>
    <row r="5" spans="1:42" x14ac:dyDescent="0.2">
      <c r="A5" t="s">
        <v>70</v>
      </c>
      <c r="B5">
        <v>10088</v>
      </c>
      <c r="C5">
        <v>1</v>
      </c>
      <c r="D5">
        <v>1</v>
      </c>
      <c r="E5">
        <v>0</v>
      </c>
      <c r="F5">
        <v>1</v>
      </c>
      <c r="G5">
        <v>5</v>
      </c>
      <c r="H5">
        <v>3</v>
      </c>
      <c r="I5">
        <v>0</v>
      </c>
      <c r="J5" s="2">
        <v>64991</v>
      </c>
      <c r="K5">
        <v>0</v>
      </c>
      <c r="L5">
        <v>19</v>
      </c>
      <c r="M5" t="s">
        <v>43</v>
      </c>
      <c r="N5" t="s">
        <v>44</v>
      </c>
      <c r="O5">
        <v>1886</v>
      </c>
      <c r="P5" s="1">
        <v>37161</v>
      </c>
      <c r="Q5" t="s">
        <v>67</v>
      </c>
      <c r="R5" t="s">
        <v>58</v>
      </c>
      <c r="S5" t="s">
        <v>47</v>
      </c>
      <c r="T5" t="s">
        <v>48</v>
      </c>
      <c r="U5" t="s">
        <v>49</v>
      </c>
      <c r="V5" s="1">
        <v>42376</v>
      </c>
      <c r="W5" s="1" t="s">
        <v>492</v>
      </c>
      <c r="X5" t="s">
        <v>50</v>
      </c>
      <c r="Y5" t="s">
        <v>51</v>
      </c>
      <c r="Z5" t="s">
        <v>52</v>
      </c>
      <c r="AA5" t="s">
        <v>71</v>
      </c>
      <c r="AB5">
        <v>16</v>
      </c>
      <c r="AC5" t="s">
        <v>63</v>
      </c>
      <c r="AD5" t="s">
        <v>64</v>
      </c>
      <c r="AE5">
        <v>4.84</v>
      </c>
      <c r="AF5">
        <v>5</v>
      </c>
      <c r="AG5">
        <v>0</v>
      </c>
      <c r="AH5" s="1">
        <v>46025</v>
      </c>
      <c r="AI5">
        <v>0</v>
      </c>
      <c r="AJ5">
        <v>15</v>
      </c>
      <c r="AK5">
        <v>1</v>
      </c>
      <c r="AL5">
        <v>24.8</v>
      </c>
      <c r="AM5" t="s">
        <v>499</v>
      </c>
      <c r="AN5">
        <v>10.7</v>
      </c>
      <c r="AO5" t="s">
        <v>521</v>
      </c>
      <c r="AP5">
        <v>5</v>
      </c>
    </row>
    <row r="6" spans="1:42" x14ac:dyDescent="0.2">
      <c r="A6" t="s">
        <v>72</v>
      </c>
      <c r="B6">
        <v>10069</v>
      </c>
      <c r="C6">
        <v>0</v>
      </c>
      <c r="D6">
        <v>2</v>
      </c>
      <c r="E6">
        <v>0</v>
      </c>
      <c r="F6">
        <v>5</v>
      </c>
      <c r="G6">
        <v>5</v>
      </c>
      <c r="H6">
        <v>3</v>
      </c>
      <c r="I6">
        <v>0</v>
      </c>
      <c r="J6" s="2">
        <v>50825</v>
      </c>
      <c r="K6">
        <v>1</v>
      </c>
      <c r="L6">
        <v>19</v>
      </c>
      <c r="M6" t="s">
        <v>43</v>
      </c>
      <c r="N6" t="s">
        <v>44</v>
      </c>
      <c r="O6">
        <v>2169</v>
      </c>
      <c r="P6" s="1">
        <v>37507</v>
      </c>
      <c r="Q6" t="s">
        <v>67</v>
      </c>
      <c r="R6" t="s">
        <v>73</v>
      </c>
      <c r="S6" t="s">
        <v>47</v>
      </c>
      <c r="T6" t="s">
        <v>48</v>
      </c>
      <c r="U6" t="s">
        <v>49</v>
      </c>
      <c r="V6" s="1">
        <v>43657</v>
      </c>
      <c r="W6" s="1">
        <v>45541</v>
      </c>
      <c r="X6" t="s">
        <v>74</v>
      </c>
      <c r="Y6" t="s">
        <v>60</v>
      </c>
      <c r="Z6" t="s">
        <v>52</v>
      </c>
      <c r="AA6" t="s">
        <v>75</v>
      </c>
      <c r="AB6">
        <v>39</v>
      </c>
      <c r="AC6" t="s">
        <v>76</v>
      </c>
      <c r="AD6" t="s">
        <v>64</v>
      </c>
      <c r="AE6">
        <v>5</v>
      </c>
      <c r="AF6">
        <v>4</v>
      </c>
      <c r="AG6">
        <v>0</v>
      </c>
      <c r="AH6" s="1">
        <v>44958</v>
      </c>
      <c r="AI6">
        <v>0</v>
      </c>
      <c r="AJ6">
        <v>2</v>
      </c>
      <c r="AK6">
        <v>0</v>
      </c>
      <c r="AL6">
        <v>23.8</v>
      </c>
      <c r="AM6" t="s">
        <v>499</v>
      </c>
      <c r="AN6">
        <v>7.1</v>
      </c>
      <c r="AO6" t="s">
        <v>521</v>
      </c>
      <c r="AP6">
        <v>5</v>
      </c>
    </row>
    <row r="7" spans="1:42" x14ac:dyDescent="0.2">
      <c r="A7" t="s">
        <v>77</v>
      </c>
      <c r="B7">
        <v>10002</v>
      </c>
      <c r="C7">
        <v>0</v>
      </c>
      <c r="D7">
        <v>0</v>
      </c>
      <c r="E7">
        <v>0</v>
      </c>
      <c r="F7">
        <v>1</v>
      </c>
      <c r="G7">
        <v>5</v>
      </c>
      <c r="H7">
        <v>4</v>
      </c>
      <c r="I7">
        <v>0</v>
      </c>
      <c r="J7" s="2">
        <v>57568</v>
      </c>
      <c r="K7">
        <v>0</v>
      </c>
      <c r="L7">
        <v>19</v>
      </c>
      <c r="M7" t="s">
        <v>43</v>
      </c>
      <c r="N7" t="s">
        <v>44</v>
      </c>
      <c r="O7">
        <v>1844</v>
      </c>
      <c r="P7" s="1">
        <v>33015</v>
      </c>
      <c r="Q7" t="s">
        <v>67</v>
      </c>
      <c r="R7" t="s">
        <v>46</v>
      </c>
      <c r="S7" t="s">
        <v>47</v>
      </c>
      <c r="T7" t="s">
        <v>48</v>
      </c>
      <c r="U7" t="s">
        <v>49</v>
      </c>
      <c r="V7" s="1">
        <v>43839</v>
      </c>
      <c r="W7" s="1" t="s">
        <v>492</v>
      </c>
      <c r="X7" t="s">
        <v>50</v>
      </c>
      <c r="Y7" t="s">
        <v>51</v>
      </c>
      <c r="Z7" t="s">
        <v>52</v>
      </c>
      <c r="AA7" t="s">
        <v>78</v>
      </c>
      <c r="AB7">
        <v>11</v>
      </c>
      <c r="AC7" t="s">
        <v>54</v>
      </c>
      <c r="AD7" t="s">
        <v>55</v>
      </c>
      <c r="AE7">
        <v>5</v>
      </c>
      <c r="AF7">
        <v>5</v>
      </c>
      <c r="AG7">
        <v>0</v>
      </c>
      <c r="AH7" s="1">
        <v>46029</v>
      </c>
      <c r="AI7">
        <v>0</v>
      </c>
      <c r="AJ7">
        <v>15</v>
      </c>
      <c r="AK7">
        <v>1</v>
      </c>
      <c r="AL7">
        <v>36.299999999999997</v>
      </c>
      <c r="AM7" t="s">
        <v>501</v>
      </c>
      <c r="AN7">
        <v>6.7</v>
      </c>
      <c r="AO7" t="s">
        <v>521</v>
      </c>
      <c r="AP7">
        <v>5</v>
      </c>
    </row>
    <row r="8" spans="1:42" x14ac:dyDescent="0.2">
      <c r="A8" t="s">
        <v>79</v>
      </c>
      <c r="B8">
        <v>10194</v>
      </c>
      <c r="C8">
        <v>0</v>
      </c>
      <c r="D8">
        <v>0</v>
      </c>
      <c r="E8">
        <v>0</v>
      </c>
      <c r="F8">
        <v>1</v>
      </c>
      <c r="G8">
        <v>4</v>
      </c>
      <c r="H8">
        <v>3</v>
      </c>
      <c r="I8">
        <v>0</v>
      </c>
      <c r="J8" s="2">
        <v>95660</v>
      </c>
      <c r="K8">
        <v>0</v>
      </c>
      <c r="L8">
        <v>24</v>
      </c>
      <c r="M8" t="s">
        <v>80</v>
      </c>
      <c r="N8" t="s">
        <v>44</v>
      </c>
      <c r="O8">
        <v>2110</v>
      </c>
      <c r="P8" s="1">
        <v>33748</v>
      </c>
      <c r="Q8" t="s">
        <v>67</v>
      </c>
      <c r="R8" t="s">
        <v>46</v>
      </c>
      <c r="S8" t="s">
        <v>47</v>
      </c>
      <c r="T8" t="s">
        <v>48</v>
      </c>
      <c r="U8" t="s">
        <v>49</v>
      </c>
      <c r="V8" s="1">
        <v>44875</v>
      </c>
      <c r="W8" s="1" t="s">
        <v>492</v>
      </c>
      <c r="X8" t="s">
        <v>50</v>
      </c>
      <c r="Y8" t="s">
        <v>51</v>
      </c>
      <c r="Z8" t="s">
        <v>81</v>
      </c>
      <c r="AA8" t="s">
        <v>82</v>
      </c>
      <c r="AB8">
        <v>10</v>
      </c>
      <c r="AC8" t="s">
        <v>54</v>
      </c>
      <c r="AD8" t="s">
        <v>64</v>
      </c>
      <c r="AE8">
        <v>3.04</v>
      </c>
      <c r="AF8">
        <v>3</v>
      </c>
      <c r="AG8">
        <v>4</v>
      </c>
      <c r="AH8" s="1">
        <v>46024</v>
      </c>
      <c r="AI8">
        <v>0</v>
      </c>
      <c r="AJ8">
        <v>19</v>
      </c>
      <c r="AK8">
        <v>1</v>
      </c>
      <c r="AL8">
        <v>34.299999999999997</v>
      </c>
      <c r="AM8" t="s">
        <v>500</v>
      </c>
      <c r="AN8">
        <v>3.8</v>
      </c>
      <c r="AO8" t="s">
        <v>508</v>
      </c>
      <c r="AP8">
        <v>4</v>
      </c>
    </row>
    <row r="9" spans="1:42" x14ac:dyDescent="0.2">
      <c r="A9" t="s">
        <v>83</v>
      </c>
      <c r="B9">
        <v>10062</v>
      </c>
      <c r="C9">
        <v>0</v>
      </c>
      <c r="D9">
        <v>4</v>
      </c>
      <c r="E9">
        <v>1</v>
      </c>
      <c r="F9">
        <v>1</v>
      </c>
      <c r="G9">
        <v>5</v>
      </c>
      <c r="H9">
        <v>3</v>
      </c>
      <c r="I9">
        <v>0</v>
      </c>
      <c r="J9" s="2">
        <v>59365</v>
      </c>
      <c r="K9">
        <v>0</v>
      </c>
      <c r="L9">
        <v>19</v>
      </c>
      <c r="M9" t="s">
        <v>43</v>
      </c>
      <c r="N9" t="s">
        <v>44</v>
      </c>
      <c r="O9">
        <v>2199</v>
      </c>
      <c r="P9" s="1">
        <v>35113</v>
      </c>
      <c r="Q9" t="s">
        <v>45</v>
      </c>
      <c r="R9" t="s">
        <v>84</v>
      </c>
      <c r="S9" t="s">
        <v>47</v>
      </c>
      <c r="T9" t="s">
        <v>48</v>
      </c>
      <c r="U9" t="s">
        <v>49</v>
      </c>
      <c r="V9" s="1">
        <v>44469</v>
      </c>
      <c r="W9" s="1" t="s">
        <v>492</v>
      </c>
      <c r="X9" t="s">
        <v>50</v>
      </c>
      <c r="Y9" t="s">
        <v>51</v>
      </c>
      <c r="Z9" t="s">
        <v>52</v>
      </c>
      <c r="AA9" t="s">
        <v>85</v>
      </c>
      <c r="AB9">
        <v>19</v>
      </c>
      <c r="AC9" t="s">
        <v>86</v>
      </c>
      <c r="AD9" t="s">
        <v>64</v>
      </c>
      <c r="AE9">
        <v>5</v>
      </c>
      <c r="AF9">
        <v>4</v>
      </c>
      <c r="AG9">
        <v>0</v>
      </c>
      <c r="AH9" s="1">
        <v>46078</v>
      </c>
      <c r="AI9">
        <v>0</v>
      </c>
      <c r="AJ9">
        <v>19</v>
      </c>
      <c r="AK9">
        <v>1</v>
      </c>
      <c r="AL9">
        <v>30.6</v>
      </c>
      <c r="AM9" t="s">
        <v>500</v>
      </c>
      <c r="AN9">
        <v>4.8</v>
      </c>
      <c r="AO9" t="s">
        <v>508</v>
      </c>
      <c r="AP9">
        <v>4</v>
      </c>
    </row>
    <row r="10" spans="1:42" x14ac:dyDescent="0.2">
      <c r="A10" t="s">
        <v>87</v>
      </c>
      <c r="B10">
        <v>10114</v>
      </c>
      <c r="C10">
        <v>0</v>
      </c>
      <c r="D10">
        <v>0</v>
      </c>
      <c r="E10">
        <v>0</v>
      </c>
      <c r="F10">
        <v>3</v>
      </c>
      <c r="G10">
        <v>5</v>
      </c>
      <c r="H10">
        <v>3</v>
      </c>
      <c r="I10">
        <v>1</v>
      </c>
      <c r="J10" s="2">
        <v>47837</v>
      </c>
      <c r="K10">
        <v>0</v>
      </c>
      <c r="L10">
        <v>19</v>
      </c>
      <c r="M10" t="s">
        <v>43</v>
      </c>
      <c r="N10" t="s">
        <v>44</v>
      </c>
      <c r="O10">
        <v>1902</v>
      </c>
      <c r="P10" s="1">
        <v>30358</v>
      </c>
      <c r="Q10" t="s">
        <v>67</v>
      </c>
      <c r="R10" t="s">
        <v>46</v>
      </c>
      <c r="S10" t="s">
        <v>47</v>
      </c>
      <c r="T10" t="s">
        <v>48</v>
      </c>
      <c r="U10" t="s">
        <v>88</v>
      </c>
      <c r="V10" s="1">
        <v>42922</v>
      </c>
      <c r="W10" s="1" t="s">
        <v>492</v>
      </c>
      <c r="X10" t="s">
        <v>50</v>
      </c>
      <c r="Y10" t="s">
        <v>51</v>
      </c>
      <c r="Z10" t="s">
        <v>52</v>
      </c>
      <c r="AA10" t="s">
        <v>89</v>
      </c>
      <c r="AB10">
        <v>12</v>
      </c>
      <c r="AC10" t="s">
        <v>90</v>
      </c>
      <c r="AD10" t="s">
        <v>64</v>
      </c>
      <c r="AE10">
        <v>4.46</v>
      </c>
      <c r="AF10">
        <v>3</v>
      </c>
      <c r="AG10">
        <v>0</v>
      </c>
      <c r="AH10" s="1">
        <v>46047</v>
      </c>
      <c r="AI10">
        <v>0</v>
      </c>
      <c r="AJ10">
        <v>4</v>
      </c>
      <c r="AK10">
        <v>1</v>
      </c>
      <c r="AL10">
        <v>43.6</v>
      </c>
      <c r="AM10" t="s">
        <v>501</v>
      </c>
      <c r="AN10">
        <v>9.1</v>
      </c>
      <c r="AO10" t="s">
        <v>521</v>
      </c>
      <c r="AP10">
        <v>5</v>
      </c>
    </row>
    <row r="11" spans="1:42" x14ac:dyDescent="0.2">
      <c r="A11" t="s">
        <v>91</v>
      </c>
      <c r="B11">
        <v>10250</v>
      </c>
      <c r="C11">
        <v>0</v>
      </c>
      <c r="D11">
        <v>2</v>
      </c>
      <c r="E11">
        <v>1</v>
      </c>
      <c r="F11">
        <v>1</v>
      </c>
      <c r="G11">
        <v>3</v>
      </c>
      <c r="H11">
        <v>3</v>
      </c>
      <c r="I11">
        <v>0</v>
      </c>
      <c r="J11" s="2">
        <v>50178</v>
      </c>
      <c r="K11">
        <v>0</v>
      </c>
      <c r="L11">
        <v>14</v>
      </c>
      <c r="M11" t="s">
        <v>92</v>
      </c>
      <c r="N11" t="s">
        <v>44</v>
      </c>
      <c r="O11">
        <v>1886</v>
      </c>
      <c r="P11" s="1">
        <v>36898</v>
      </c>
      <c r="Q11" t="s">
        <v>45</v>
      </c>
      <c r="R11" t="s">
        <v>73</v>
      </c>
      <c r="S11" t="s">
        <v>47</v>
      </c>
      <c r="T11" t="s">
        <v>48</v>
      </c>
      <c r="U11" t="s">
        <v>49</v>
      </c>
      <c r="V11" s="1">
        <v>44931</v>
      </c>
      <c r="W11" s="1" t="s">
        <v>492</v>
      </c>
      <c r="X11" t="s">
        <v>50</v>
      </c>
      <c r="Y11" t="s">
        <v>51</v>
      </c>
      <c r="Z11" t="s">
        <v>61</v>
      </c>
      <c r="AA11" t="s">
        <v>93</v>
      </c>
      <c r="AB11">
        <v>7</v>
      </c>
      <c r="AC11" t="s">
        <v>63</v>
      </c>
      <c r="AD11" t="s">
        <v>64</v>
      </c>
      <c r="AE11">
        <v>5</v>
      </c>
      <c r="AF11">
        <v>5</v>
      </c>
      <c r="AG11">
        <v>6</v>
      </c>
      <c r="AH11" s="1">
        <v>46071</v>
      </c>
      <c r="AI11">
        <v>0</v>
      </c>
      <c r="AJ11">
        <v>16</v>
      </c>
      <c r="AK11">
        <v>1</v>
      </c>
      <c r="AL11">
        <v>25.7</v>
      </c>
      <c r="AM11" t="s">
        <v>500</v>
      </c>
      <c r="AN11">
        <v>3.7</v>
      </c>
      <c r="AO11" t="s">
        <v>508</v>
      </c>
      <c r="AP11">
        <v>4</v>
      </c>
    </row>
    <row r="12" spans="1:42" x14ac:dyDescent="0.2">
      <c r="A12" t="s">
        <v>94</v>
      </c>
      <c r="B12">
        <v>10252</v>
      </c>
      <c r="C12">
        <v>1</v>
      </c>
      <c r="D12">
        <v>1</v>
      </c>
      <c r="E12">
        <v>0</v>
      </c>
      <c r="F12">
        <v>5</v>
      </c>
      <c r="G12">
        <v>5</v>
      </c>
      <c r="H12">
        <v>3</v>
      </c>
      <c r="I12">
        <v>1</v>
      </c>
      <c r="J12" s="2">
        <v>54670</v>
      </c>
      <c r="K12">
        <v>1</v>
      </c>
      <c r="L12">
        <v>19</v>
      </c>
      <c r="M12" t="s">
        <v>43</v>
      </c>
      <c r="N12" t="s">
        <v>44</v>
      </c>
      <c r="O12">
        <v>1902</v>
      </c>
      <c r="P12" s="1">
        <v>31789</v>
      </c>
      <c r="Q12" t="s">
        <v>67</v>
      </c>
      <c r="R12" t="s">
        <v>58</v>
      </c>
      <c r="S12" t="s">
        <v>47</v>
      </c>
      <c r="T12" t="s">
        <v>95</v>
      </c>
      <c r="U12" t="s">
        <v>88</v>
      </c>
      <c r="V12" s="1">
        <v>43475</v>
      </c>
      <c r="W12" s="1">
        <v>45669</v>
      </c>
      <c r="X12" t="s">
        <v>96</v>
      </c>
      <c r="Y12" t="s">
        <v>60</v>
      </c>
      <c r="Z12" t="s">
        <v>52</v>
      </c>
      <c r="AA12" t="s">
        <v>97</v>
      </c>
      <c r="AB12">
        <v>14</v>
      </c>
      <c r="AC12" t="s">
        <v>90</v>
      </c>
      <c r="AD12" t="s">
        <v>64</v>
      </c>
      <c r="AE12">
        <v>4.2</v>
      </c>
      <c r="AF12">
        <v>4</v>
      </c>
      <c r="AG12">
        <v>0</v>
      </c>
      <c r="AH12" s="1">
        <v>44956</v>
      </c>
      <c r="AI12">
        <v>0</v>
      </c>
      <c r="AJ12">
        <v>12</v>
      </c>
      <c r="AK12">
        <v>0</v>
      </c>
      <c r="AL12">
        <v>39.700000000000003</v>
      </c>
      <c r="AM12" t="s">
        <v>501</v>
      </c>
      <c r="AN12">
        <v>7.7</v>
      </c>
      <c r="AO12" t="s">
        <v>521</v>
      </c>
      <c r="AP12">
        <v>5</v>
      </c>
    </row>
    <row r="13" spans="1:42" x14ac:dyDescent="0.2">
      <c r="A13" t="s">
        <v>98</v>
      </c>
      <c r="B13">
        <v>10242</v>
      </c>
      <c r="C13">
        <v>1</v>
      </c>
      <c r="D13">
        <v>1</v>
      </c>
      <c r="E13">
        <v>1</v>
      </c>
      <c r="F13">
        <v>5</v>
      </c>
      <c r="G13">
        <v>5</v>
      </c>
      <c r="H13">
        <v>3</v>
      </c>
      <c r="I13">
        <v>1</v>
      </c>
      <c r="J13" s="2">
        <v>47211</v>
      </c>
      <c r="K13">
        <v>1</v>
      </c>
      <c r="L13">
        <v>19</v>
      </c>
      <c r="M13" t="s">
        <v>43</v>
      </c>
      <c r="N13" t="s">
        <v>44</v>
      </c>
      <c r="O13">
        <v>2062</v>
      </c>
      <c r="P13" s="1">
        <v>31829</v>
      </c>
      <c r="Q13" t="s">
        <v>45</v>
      </c>
      <c r="R13" t="s">
        <v>58</v>
      </c>
      <c r="S13" t="s">
        <v>47</v>
      </c>
      <c r="T13" t="s">
        <v>95</v>
      </c>
      <c r="U13" t="s">
        <v>88</v>
      </c>
      <c r="V13" s="1">
        <v>43923</v>
      </c>
      <c r="W13" s="1">
        <v>45554</v>
      </c>
      <c r="X13" t="s">
        <v>99</v>
      </c>
      <c r="Y13" t="s">
        <v>60</v>
      </c>
      <c r="Z13" t="s">
        <v>52</v>
      </c>
      <c r="AA13" t="s">
        <v>69</v>
      </c>
      <c r="AB13">
        <v>20</v>
      </c>
      <c r="AC13" t="s">
        <v>90</v>
      </c>
      <c r="AD13" t="s">
        <v>64</v>
      </c>
      <c r="AE13">
        <v>4.2</v>
      </c>
      <c r="AF13">
        <v>3</v>
      </c>
      <c r="AG13">
        <v>0</v>
      </c>
      <c r="AH13" s="1">
        <v>45052</v>
      </c>
      <c r="AI13">
        <v>0</v>
      </c>
      <c r="AJ13">
        <v>15</v>
      </c>
      <c r="AK13">
        <v>0</v>
      </c>
      <c r="AL13">
        <v>39.6</v>
      </c>
      <c r="AM13" t="s">
        <v>501</v>
      </c>
      <c r="AN13">
        <v>6.4</v>
      </c>
      <c r="AO13" t="s">
        <v>521</v>
      </c>
      <c r="AP13">
        <v>5</v>
      </c>
    </row>
    <row r="14" spans="1:42" x14ac:dyDescent="0.2">
      <c r="A14" t="s">
        <v>100</v>
      </c>
      <c r="B14">
        <v>10012</v>
      </c>
      <c r="C14">
        <v>0</v>
      </c>
      <c r="D14">
        <v>2</v>
      </c>
      <c r="E14">
        <v>1</v>
      </c>
      <c r="F14">
        <v>1</v>
      </c>
      <c r="G14">
        <v>3</v>
      </c>
      <c r="H14">
        <v>4</v>
      </c>
      <c r="I14">
        <v>1</v>
      </c>
      <c r="J14" s="2">
        <v>92328</v>
      </c>
      <c r="K14">
        <v>0</v>
      </c>
      <c r="L14">
        <v>9</v>
      </c>
      <c r="M14" t="s">
        <v>101</v>
      </c>
      <c r="N14" t="s">
        <v>102</v>
      </c>
      <c r="O14">
        <v>78230</v>
      </c>
      <c r="P14" s="1">
        <v>37076</v>
      </c>
      <c r="Q14" t="s">
        <v>45</v>
      </c>
      <c r="R14" t="s">
        <v>73</v>
      </c>
      <c r="S14" t="s">
        <v>47</v>
      </c>
      <c r="T14" t="s">
        <v>48</v>
      </c>
      <c r="U14" t="s">
        <v>88</v>
      </c>
      <c r="V14" s="1">
        <v>44875</v>
      </c>
      <c r="W14" s="1" t="s">
        <v>492</v>
      </c>
      <c r="X14" t="s">
        <v>50</v>
      </c>
      <c r="Y14" t="s">
        <v>51</v>
      </c>
      <c r="Z14" t="s">
        <v>61</v>
      </c>
      <c r="AA14" t="s">
        <v>62</v>
      </c>
      <c r="AB14">
        <v>4</v>
      </c>
      <c r="AC14" t="s">
        <v>90</v>
      </c>
      <c r="AD14" t="s">
        <v>55</v>
      </c>
      <c r="AE14">
        <v>4.28</v>
      </c>
      <c r="AF14">
        <v>4</v>
      </c>
      <c r="AG14">
        <v>5</v>
      </c>
      <c r="AH14" s="1">
        <v>46078</v>
      </c>
      <c r="AI14">
        <v>0</v>
      </c>
      <c r="AJ14">
        <v>9</v>
      </c>
      <c r="AK14">
        <v>1</v>
      </c>
      <c r="AL14">
        <v>25.1</v>
      </c>
      <c r="AM14" t="s">
        <v>500</v>
      </c>
      <c r="AN14">
        <v>3.8</v>
      </c>
      <c r="AO14" t="s">
        <v>508</v>
      </c>
      <c r="AP14">
        <v>4</v>
      </c>
    </row>
    <row r="15" spans="1:42" x14ac:dyDescent="0.2">
      <c r="A15" t="s">
        <v>103</v>
      </c>
      <c r="B15">
        <v>10265</v>
      </c>
      <c r="C15">
        <v>0</v>
      </c>
      <c r="D15">
        <v>0</v>
      </c>
      <c r="E15">
        <v>1</v>
      </c>
      <c r="F15">
        <v>1</v>
      </c>
      <c r="G15">
        <v>5</v>
      </c>
      <c r="H15">
        <v>3</v>
      </c>
      <c r="I15">
        <v>0</v>
      </c>
      <c r="J15" s="2">
        <v>58709</v>
      </c>
      <c r="K15">
        <v>0</v>
      </c>
      <c r="L15">
        <v>19</v>
      </c>
      <c r="M15" t="s">
        <v>43</v>
      </c>
      <c r="N15" t="s">
        <v>44</v>
      </c>
      <c r="O15">
        <v>1810</v>
      </c>
      <c r="P15" s="1">
        <v>35266</v>
      </c>
      <c r="Q15" t="s">
        <v>45</v>
      </c>
      <c r="R15" t="s">
        <v>46</v>
      </c>
      <c r="S15" t="s">
        <v>47</v>
      </c>
      <c r="T15" t="s">
        <v>48</v>
      </c>
      <c r="U15" t="s">
        <v>104</v>
      </c>
      <c r="V15" s="1">
        <v>43881</v>
      </c>
      <c r="W15" s="1" t="s">
        <v>492</v>
      </c>
      <c r="X15" t="s">
        <v>50</v>
      </c>
      <c r="Y15" t="s">
        <v>51</v>
      </c>
      <c r="Z15" t="s">
        <v>52</v>
      </c>
      <c r="AA15" t="s">
        <v>105</v>
      </c>
      <c r="AB15">
        <v>18</v>
      </c>
      <c r="AC15" t="s">
        <v>76</v>
      </c>
      <c r="AD15" t="s">
        <v>64</v>
      </c>
      <c r="AE15">
        <v>4.5999999999999996</v>
      </c>
      <c r="AF15">
        <v>4</v>
      </c>
      <c r="AG15">
        <v>0</v>
      </c>
      <c r="AH15" s="1">
        <v>46067</v>
      </c>
      <c r="AI15">
        <v>0</v>
      </c>
      <c r="AJ15">
        <v>7</v>
      </c>
      <c r="AK15">
        <v>1</v>
      </c>
      <c r="AL15">
        <v>30.1</v>
      </c>
      <c r="AM15" t="s">
        <v>500</v>
      </c>
      <c r="AN15">
        <v>6.6</v>
      </c>
      <c r="AO15" t="s">
        <v>521</v>
      </c>
      <c r="AP15">
        <v>5</v>
      </c>
    </row>
    <row r="16" spans="1:42" x14ac:dyDescent="0.2">
      <c r="A16" t="s">
        <v>106</v>
      </c>
      <c r="B16">
        <v>10066</v>
      </c>
      <c r="C16">
        <v>0</v>
      </c>
      <c r="D16">
        <v>2</v>
      </c>
      <c r="E16">
        <v>1</v>
      </c>
      <c r="F16">
        <v>5</v>
      </c>
      <c r="G16">
        <v>5</v>
      </c>
      <c r="H16">
        <v>3</v>
      </c>
      <c r="I16">
        <v>0</v>
      </c>
      <c r="J16" s="2">
        <v>52505</v>
      </c>
      <c r="K16">
        <v>1</v>
      </c>
      <c r="L16">
        <v>19</v>
      </c>
      <c r="M16" t="s">
        <v>43</v>
      </c>
      <c r="N16" t="s">
        <v>44</v>
      </c>
      <c r="O16">
        <v>2747</v>
      </c>
      <c r="P16" s="1">
        <v>33069</v>
      </c>
      <c r="Q16" t="s">
        <v>45</v>
      </c>
      <c r="R16" t="s">
        <v>73</v>
      </c>
      <c r="S16" t="s">
        <v>47</v>
      </c>
      <c r="T16" t="s">
        <v>48</v>
      </c>
      <c r="U16" t="s">
        <v>49</v>
      </c>
      <c r="V16" s="1">
        <v>44098</v>
      </c>
      <c r="W16" s="1">
        <v>45753</v>
      </c>
      <c r="X16" t="s">
        <v>96</v>
      </c>
      <c r="Y16" t="s">
        <v>60</v>
      </c>
      <c r="Z16" t="s">
        <v>52</v>
      </c>
      <c r="AA16" t="s">
        <v>53</v>
      </c>
      <c r="AB16">
        <v>22</v>
      </c>
      <c r="AC16" t="s">
        <v>107</v>
      </c>
      <c r="AD16" t="s">
        <v>64</v>
      </c>
      <c r="AE16">
        <v>5</v>
      </c>
      <c r="AF16">
        <v>5</v>
      </c>
      <c r="AG16">
        <v>0</v>
      </c>
      <c r="AH16" s="1">
        <v>45353</v>
      </c>
      <c r="AI16">
        <v>0</v>
      </c>
      <c r="AJ16">
        <v>1</v>
      </c>
      <c r="AK16">
        <v>0</v>
      </c>
      <c r="AL16">
        <v>36.1</v>
      </c>
      <c r="AM16" t="s">
        <v>501</v>
      </c>
      <c r="AN16">
        <v>5.8</v>
      </c>
      <c r="AO16" t="s">
        <v>521</v>
      </c>
      <c r="AP16">
        <v>5</v>
      </c>
    </row>
    <row r="17" spans="1:42" x14ac:dyDescent="0.2">
      <c r="A17" t="s">
        <v>108</v>
      </c>
      <c r="B17">
        <v>10061</v>
      </c>
      <c r="C17">
        <v>0</v>
      </c>
      <c r="D17">
        <v>0</v>
      </c>
      <c r="E17">
        <v>1</v>
      </c>
      <c r="F17">
        <v>4</v>
      </c>
      <c r="G17">
        <v>5</v>
      </c>
      <c r="H17">
        <v>3</v>
      </c>
      <c r="I17">
        <v>0</v>
      </c>
      <c r="J17" s="2">
        <v>57834</v>
      </c>
      <c r="K17">
        <v>1</v>
      </c>
      <c r="L17">
        <v>19</v>
      </c>
      <c r="M17" t="s">
        <v>43</v>
      </c>
      <c r="N17" t="s">
        <v>44</v>
      </c>
      <c r="O17">
        <v>2050</v>
      </c>
      <c r="P17" s="1">
        <v>34625</v>
      </c>
      <c r="Q17" t="s">
        <v>45</v>
      </c>
      <c r="R17" t="s">
        <v>46</v>
      </c>
      <c r="S17" t="s">
        <v>47</v>
      </c>
      <c r="T17" t="s">
        <v>48</v>
      </c>
      <c r="U17" t="s">
        <v>49</v>
      </c>
      <c r="V17" s="1">
        <v>43517</v>
      </c>
      <c r="W17" s="1">
        <v>45873</v>
      </c>
      <c r="X17" t="s">
        <v>109</v>
      </c>
      <c r="Y17" t="s">
        <v>110</v>
      </c>
      <c r="Z17" t="s">
        <v>52</v>
      </c>
      <c r="AA17" t="s">
        <v>105</v>
      </c>
      <c r="AB17">
        <v>18</v>
      </c>
      <c r="AC17" t="s">
        <v>76</v>
      </c>
      <c r="AD17" t="s">
        <v>64</v>
      </c>
      <c r="AE17">
        <v>5</v>
      </c>
      <c r="AF17">
        <v>4</v>
      </c>
      <c r="AG17">
        <v>0</v>
      </c>
      <c r="AH17" s="1">
        <v>45387</v>
      </c>
      <c r="AI17">
        <v>0</v>
      </c>
      <c r="AJ17">
        <v>20</v>
      </c>
      <c r="AK17">
        <v>0</v>
      </c>
      <c r="AL17">
        <v>31.8</v>
      </c>
      <c r="AM17" t="s">
        <v>500</v>
      </c>
      <c r="AN17">
        <v>7.6</v>
      </c>
      <c r="AO17" t="s">
        <v>521</v>
      </c>
      <c r="AP17">
        <v>5</v>
      </c>
    </row>
    <row r="18" spans="1:42" x14ac:dyDescent="0.2">
      <c r="A18" t="s">
        <v>111</v>
      </c>
      <c r="B18">
        <v>10023</v>
      </c>
      <c r="C18">
        <v>1</v>
      </c>
      <c r="D18">
        <v>1</v>
      </c>
      <c r="E18">
        <v>0</v>
      </c>
      <c r="F18">
        <v>2</v>
      </c>
      <c r="G18">
        <v>5</v>
      </c>
      <c r="H18">
        <v>4</v>
      </c>
      <c r="I18">
        <v>0</v>
      </c>
      <c r="J18" s="2">
        <v>70131</v>
      </c>
      <c r="K18">
        <v>0</v>
      </c>
      <c r="L18">
        <v>20</v>
      </c>
      <c r="M18" t="s">
        <v>66</v>
      </c>
      <c r="N18" t="s">
        <v>44</v>
      </c>
      <c r="O18">
        <v>2145</v>
      </c>
      <c r="P18" s="1">
        <v>28962</v>
      </c>
      <c r="Q18" t="s">
        <v>67</v>
      </c>
      <c r="R18" t="s">
        <v>58</v>
      </c>
      <c r="S18" t="s">
        <v>47</v>
      </c>
      <c r="T18" t="s">
        <v>48</v>
      </c>
      <c r="U18" t="s">
        <v>49</v>
      </c>
      <c r="V18" s="1">
        <v>45494</v>
      </c>
      <c r="W18" s="1" t="s">
        <v>492</v>
      </c>
      <c r="X18" t="s">
        <v>50</v>
      </c>
      <c r="Y18" t="s">
        <v>51</v>
      </c>
      <c r="Z18" t="s">
        <v>52</v>
      </c>
      <c r="AA18" t="s">
        <v>105</v>
      </c>
      <c r="AB18">
        <v>18</v>
      </c>
      <c r="AC18" t="s">
        <v>86</v>
      </c>
      <c r="AD18" t="s">
        <v>55</v>
      </c>
      <c r="AE18">
        <v>4.4000000000000004</v>
      </c>
      <c r="AF18">
        <v>3</v>
      </c>
      <c r="AG18">
        <v>0</v>
      </c>
      <c r="AH18" s="1">
        <v>46036</v>
      </c>
      <c r="AI18">
        <v>0</v>
      </c>
      <c r="AJ18">
        <v>16</v>
      </c>
      <c r="AK18">
        <v>1</v>
      </c>
      <c r="AL18">
        <v>47.4</v>
      </c>
      <c r="AM18" t="s">
        <v>502</v>
      </c>
      <c r="AN18">
        <v>2.1</v>
      </c>
      <c r="AO18" t="s">
        <v>507</v>
      </c>
      <c r="AP18">
        <v>3</v>
      </c>
    </row>
    <row r="19" spans="1:42" x14ac:dyDescent="0.2">
      <c r="A19" t="s">
        <v>112</v>
      </c>
      <c r="B19">
        <v>10055</v>
      </c>
      <c r="C19">
        <v>0</v>
      </c>
      <c r="D19">
        <v>0</v>
      </c>
      <c r="E19">
        <v>0</v>
      </c>
      <c r="F19">
        <v>1</v>
      </c>
      <c r="G19">
        <v>5</v>
      </c>
      <c r="H19">
        <v>3</v>
      </c>
      <c r="I19">
        <v>0</v>
      </c>
      <c r="J19" s="2">
        <v>59026</v>
      </c>
      <c r="K19">
        <v>0</v>
      </c>
      <c r="L19">
        <v>19</v>
      </c>
      <c r="M19" t="s">
        <v>43</v>
      </c>
      <c r="N19" t="s">
        <v>44</v>
      </c>
      <c r="O19">
        <v>1915</v>
      </c>
      <c r="P19" s="1">
        <v>30616</v>
      </c>
      <c r="Q19" t="s">
        <v>67</v>
      </c>
      <c r="R19" t="s">
        <v>46</v>
      </c>
      <c r="S19" t="s">
        <v>113</v>
      </c>
      <c r="T19" t="s">
        <v>48</v>
      </c>
      <c r="U19" t="s">
        <v>49</v>
      </c>
      <c r="V19" s="1">
        <v>43559</v>
      </c>
      <c r="W19" s="1" t="s">
        <v>492</v>
      </c>
      <c r="X19" t="s">
        <v>50</v>
      </c>
      <c r="Y19" t="s">
        <v>51</v>
      </c>
      <c r="Z19" t="s">
        <v>52</v>
      </c>
      <c r="AA19" t="s">
        <v>71</v>
      </c>
      <c r="AB19">
        <v>16</v>
      </c>
      <c r="AC19" t="s">
        <v>76</v>
      </c>
      <c r="AD19" t="s">
        <v>64</v>
      </c>
      <c r="AE19">
        <v>5</v>
      </c>
      <c r="AF19">
        <v>5</v>
      </c>
      <c r="AG19">
        <v>0</v>
      </c>
      <c r="AH19" s="1">
        <v>46036</v>
      </c>
      <c r="AI19">
        <v>0</v>
      </c>
      <c r="AJ19">
        <v>12</v>
      </c>
      <c r="AK19">
        <v>1</v>
      </c>
      <c r="AL19">
        <v>42.8</v>
      </c>
      <c r="AM19" t="s">
        <v>501</v>
      </c>
      <c r="AN19">
        <v>7.4</v>
      </c>
      <c r="AO19" t="s">
        <v>521</v>
      </c>
      <c r="AP19">
        <v>5</v>
      </c>
    </row>
    <row r="20" spans="1:42" x14ac:dyDescent="0.2">
      <c r="A20" t="s">
        <v>114</v>
      </c>
      <c r="B20">
        <v>10245</v>
      </c>
      <c r="C20">
        <v>0</v>
      </c>
      <c r="D20">
        <v>0</v>
      </c>
      <c r="E20">
        <v>0</v>
      </c>
      <c r="F20">
        <v>4</v>
      </c>
      <c r="G20">
        <v>3</v>
      </c>
      <c r="H20">
        <v>3</v>
      </c>
      <c r="I20">
        <v>0</v>
      </c>
      <c r="J20" s="2">
        <v>110000</v>
      </c>
      <c r="K20">
        <v>1</v>
      </c>
      <c r="L20">
        <v>8</v>
      </c>
      <c r="M20" t="s">
        <v>115</v>
      </c>
      <c r="N20" t="s">
        <v>44</v>
      </c>
      <c r="O20">
        <v>2026</v>
      </c>
      <c r="P20" s="1">
        <v>36254</v>
      </c>
      <c r="Q20" t="s">
        <v>67</v>
      </c>
      <c r="R20" t="s">
        <v>46</v>
      </c>
      <c r="S20" t="s">
        <v>47</v>
      </c>
      <c r="T20" t="s">
        <v>95</v>
      </c>
      <c r="U20" t="s">
        <v>49</v>
      </c>
      <c r="V20" s="1">
        <v>44749</v>
      </c>
      <c r="W20" s="1">
        <v>45181</v>
      </c>
      <c r="X20" t="s">
        <v>116</v>
      </c>
      <c r="Y20" t="s">
        <v>110</v>
      </c>
      <c r="Z20" t="s">
        <v>61</v>
      </c>
      <c r="AA20" t="s">
        <v>62</v>
      </c>
      <c r="AB20">
        <v>4</v>
      </c>
      <c r="AC20" t="s">
        <v>76</v>
      </c>
      <c r="AD20" t="s">
        <v>64</v>
      </c>
      <c r="AE20">
        <v>4.5</v>
      </c>
      <c r="AF20">
        <v>4</v>
      </c>
      <c r="AG20">
        <v>5</v>
      </c>
      <c r="AH20" s="1">
        <v>44576</v>
      </c>
      <c r="AI20">
        <v>0</v>
      </c>
      <c r="AJ20">
        <v>8</v>
      </c>
      <c r="AK20">
        <v>0</v>
      </c>
      <c r="AL20">
        <v>27.4</v>
      </c>
      <c r="AM20" t="s">
        <v>500</v>
      </c>
      <c r="AN20">
        <v>4.0999999999999996</v>
      </c>
      <c r="AO20" t="s">
        <v>508</v>
      </c>
      <c r="AP20">
        <v>4</v>
      </c>
    </row>
    <row r="21" spans="1:42" x14ac:dyDescent="0.2">
      <c r="A21" t="s">
        <v>117</v>
      </c>
      <c r="B21">
        <v>10277</v>
      </c>
      <c r="C21">
        <v>0</v>
      </c>
      <c r="D21">
        <v>0</v>
      </c>
      <c r="E21">
        <v>1</v>
      </c>
      <c r="F21">
        <v>3</v>
      </c>
      <c r="G21">
        <v>5</v>
      </c>
      <c r="H21">
        <v>3</v>
      </c>
      <c r="I21">
        <v>0</v>
      </c>
      <c r="J21" s="2">
        <v>53250</v>
      </c>
      <c r="K21">
        <v>0</v>
      </c>
      <c r="L21">
        <v>19</v>
      </c>
      <c r="M21" t="s">
        <v>43</v>
      </c>
      <c r="N21" t="s">
        <v>44</v>
      </c>
      <c r="O21">
        <v>2452</v>
      </c>
      <c r="P21" s="1">
        <v>33700</v>
      </c>
      <c r="Q21" t="s">
        <v>45</v>
      </c>
      <c r="R21" t="s">
        <v>46</v>
      </c>
      <c r="S21" t="s">
        <v>47</v>
      </c>
      <c r="T21" t="s">
        <v>48</v>
      </c>
      <c r="U21" t="s">
        <v>118</v>
      </c>
      <c r="V21" s="1">
        <v>44385</v>
      </c>
      <c r="W21" s="1" t="s">
        <v>492</v>
      </c>
      <c r="X21" t="s">
        <v>50</v>
      </c>
      <c r="Y21" t="s">
        <v>51</v>
      </c>
      <c r="Z21" t="s">
        <v>52</v>
      </c>
      <c r="AA21" t="s">
        <v>75</v>
      </c>
      <c r="AC21" t="s">
        <v>54</v>
      </c>
      <c r="AD21" t="s">
        <v>64</v>
      </c>
      <c r="AE21">
        <v>4.2</v>
      </c>
      <c r="AF21">
        <v>4</v>
      </c>
      <c r="AG21">
        <v>0</v>
      </c>
      <c r="AH21" s="1">
        <v>46033</v>
      </c>
      <c r="AI21">
        <v>0</v>
      </c>
      <c r="AJ21">
        <v>13</v>
      </c>
      <c r="AK21">
        <v>1</v>
      </c>
      <c r="AL21">
        <v>34.4</v>
      </c>
      <c r="AM21" t="s">
        <v>500</v>
      </c>
      <c r="AN21">
        <v>5.0999999999999996</v>
      </c>
      <c r="AO21" t="s">
        <v>521</v>
      </c>
      <c r="AP21">
        <v>5</v>
      </c>
    </row>
    <row r="22" spans="1:42" x14ac:dyDescent="0.2">
      <c r="A22" t="s">
        <v>119</v>
      </c>
      <c r="B22">
        <v>10046</v>
      </c>
      <c r="C22">
        <v>0</v>
      </c>
      <c r="D22">
        <v>0</v>
      </c>
      <c r="E22">
        <v>1</v>
      </c>
      <c r="F22">
        <v>1</v>
      </c>
      <c r="G22">
        <v>5</v>
      </c>
      <c r="H22">
        <v>3</v>
      </c>
      <c r="I22">
        <v>0</v>
      </c>
      <c r="J22" s="2">
        <v>51044</v>
      </c>
      <c r="K22">
        <v>0</v>
      </c>
      <c r="L22">
        <v>19</v>
      </c>
      <c r="M22" t="s">
        <v>43</v>
      </c>
      <c r="N22" t="s">
        <v>44</v>
      </c>
      <c r="O22">
        <v>2072</v>
      </c>
      <c r="P22" s="1">
        <v>30672</v>
      </c>
      <c r="Q22" t="s">
        <v>45</v>
      </c>
      <c r="R22" t="s">
        <v>46</v>
      </c>
      <c r="S22" t="s">
        <v>47</v>
      </c>
      <c r="T22" t="s">
        <v>95</v>
      </c>
      <c r="U22" t="s">
        <v>49</v>
      </c>
      <c r="V22" s="1">
        <v>43923</v>
      </c>
      <c r="W22" s="1" t="s">
        <v>492</v>
      </c>
      <c r="X22" t="s">
        <v>50</v>
      </c>
      <c r="Y22" t="s">
        <v>51</v>
      </c>
      <c r="Z22" t="s">
        <v>52</v>
      </c>
      <c r="AA22" t="s">
        <v>78</v>
      </c>
      <c r="AB22">
        <v>11</v>
      </c>
      <c r="AC22" t="s">
        <v>76</v>
      </c>
      <c r="AD22" t="s">
        <v>64</v>
      </c>
      <c r="AE22">
        <v>5</v>
      </c>
      <c r="AF22">
        <v>3</v>
      </c>
      <c r="AG22">
        <v>0</v>
      </c>
      <c r="AH22" s="1">
        <v>46036</v>
      </c>
      <c r="AI22">
        <v>0</v>
      </c>
      <c r="AJ22">
        <v>13</v>
      </c>
      <c r="AK22">
        <v>1</v>
      </c>
      <c r="AL22">
        <v>42.8</v>
      </c>
      <c r="AM22" t="s">
        <v>501</v>
      </c>
      <c r="AN22">
        <v>6.4</v>
      </c>
      <c r="AO22" t="s">
        <v>521</v>
      </c>
      <c r="AP22">
        <v>5</v>
      </c>
    </row>
    <row r="23" spans="1:42" x14ac:dyDescent="0.2">
      <c r="A23" t="s">
        <v>120</v>
      </c>
      <c r="B23">
        <v>10226</v>
      </c>
      <c r="C23">
        <v>0</v>
      </c>
      <c r="D23">
        <v>2</v>
      </c>
      <c r="E23">
        <v>0</v>
      </c>
      <c r="F23">
        <v>1</v>
      </c>
      <c r="G23">
        <v>5</v>
      </c>
      <c r="H23">
        <v>3</v>
      </c>
      <c r="I23">
        <v>0</v>
      </c>
      <c r="J23" s="2">
        <v>64919</v>
      </c>
      <c r="K23">
        <v>0</v>
      </c>
      <c r="L23">
        <v>19</v>
      </c>
      <c r="M23" t="s">
        <v>43</v>
      </c>
      <c r="N23" t="s">
        <v>44</v>
      </c>
      <c r="O23">
        <v>2027</v>
      </c>
      <c r="P23" s="1">
        <v>26294</v>
      </c>
      <c r="Q23" t="s">
        <v>67</v>
      </c>
      <c r="R23" t="s">
        <v>73</v>
      </c>
      <c r="S23" t="s">
        <v>47</v>
      </c>
      <c r="T23" t="s">
        <v>48</v>
      </c>
      <c r="U23" t="s">
        <v>118</v>
      </c>
      <c r="V23" s="1">
        <v>44427</v>
      </c>
      <c r="W23" s="1" t="s">
        <v>492</v>
      </c>
      <c r="X23" t="s">
        <v>50</v>
      </c>
      <c r="Y23" t="s">
        <v>51</v>
      </c>
      <c r="Z23" t="s">
        <v>52</v>
      </c>
      <c r="AA23" t="s">
        <v>85</v>
      </c>
      <c r="AB23">
        <v>19</v>
      </c>
      <c r="AC23" t="s">
        <v>63</v>
      </c>
      <c r="AD23" t="s">
        <v>64</v>
      </c>
      <c r="AE23">
        <v>4.2</v>
      </c>
      <c r="AF23">
        <v>3</v>
      </c>
      <c r="AG23">
        <v>0</v>
      </c>
      <c r="AH23" s="1">
        <v>46032</v>
      </c>
      <c r="AI23">
        <v>0</v>
      </c>
      <c r="AJ23">
        <v>2</v>
      </c>
      <c r="AK23">
        <v>1</v>
      </c>
      <c r="AL23">
        <v>54.8</v>
      </c>
      <c r="AM23" t="s">
        <v>502</v>
      </c>
      <c r="AN23">
        <v>5</v>
      </c>
      <c r="AO23" t="s">
        <v>508</v>
      </c>
      <c r="AP23">
        <v>4</v>
      </c>
    </row>
    <row r="24" spans="1:42" x14ac:dyDescent="0.2">
      <c r="A24" t="s">
        <v>121</v>
      </c>
      <c r="B24">
        <v>10003</v>
      </c>
      <c r="C24">
        <v>1</v>
      </c>
      <c r="D24">
        <v>1</v>
      </c>
      <c r="E24">
        <v>0</v>
      </c>
      <c r="F24">
        <v>1</v>
      </c>
      <c r="G24">
        <v>5</v>
      </c>
      <c r="H24">
        <v>4</v>
      </c>
      <c r="I24">
        <v>0</v>
      </c>
      <c r="J24" s="2">
        <v>62910</v>
      </c>
      <c r="K24">
        <v>0</v>
      </c>
      <c r="L24">
        <v>19</v>
      </c>
      <c r="M24" t="s">
        <v>43</v>
      </c>
      <c r="N24" t="s">
        <v>44</v>
      </c>
      <c r="O24">
        <v>2031</v>
      </c>
      <c r="P24" s="1">
        <v>37500</v>
      </c>
      <c r="Q24" t="s">
        <v>67</v>
      </c>
      <c r="R24" t="s">
        <v>58</v>
      </c>
      <c r="S24" t="s">
        <v>47</v>
      </c>
      <c r="T24" t="s">
        <v>48</v>
      </c>
      <c r="U24" t="s">
        <v>49</v>
      </c>
      <c r="V24" s="1">
        <v>44749</v>
      </c>
      <c r="W24" s="1" t="s">
        <v>492</v>
      </c>
      <c r="X24" t="s">
        <v>50</v>
      </c>
      <c r="Y24" t="s">
        <v>51</v>
      </c>
      <c r="Z24" t="s">
        <v>52</v>
      </c>
      <c r="AA24" t="s">
        <v>89</v>
      </c>
      <c r="AB24">
        <v>12</v>
      </c>
      <c r="AC24" t="s">
        <v>63</v>
      </c>
      <c r="AD24" t="s">
        <v>55</v>
      </c>
      <c r="AE24">
        <v>5</v>
      </c>
      <c r="AF24">
        <v>3</v>
      </c>
      <c r="AG24">
        <v>0</v>
      </c>
      <c r="AH24" s="1">
        <v>46080</v>
      </c>
      <c r="AI24">
        <v>0</v>
      </c>
      <c r="AJ24">
        <v>19</v>
      </c>
      <c r="AK24">
        <v>1</v>
      </c>
      <c r="AL24">
        <v>23.8</v>
      </c>
      <c r="AM24" t="s">
        <v>499</v>
      </c>
      <c r="AN24">
        <v>4.0999999999999996</v>
      </c>
      <c r="AO24" t="s">
        <v>508</v>
      </c>
      <c r="AP24">
        <v>4</v>
      </c>
    </row>
    <row r="25" spans="1:42" x14ac:dyDescent="0.2">
      <c r="A25" t="s">
        <v>122</v>
      </c>
      <c r="B25">
        <v>10294</v>
      </c>
      <c r="C25">
        <v>0</v>
      </c>
      <c r="D25">
        <v>0</v>
      </c>
      <c r="E25">
        <v>0</v>
      </c>
      <c r="F25">
        <v>1</v>
      </c>
      <c r="G25">
        <v>5</v>
      </c>
      <c r="H25">
        <v>2</v>
      </c>
      <c r="I25">
        <v>0</v>
      </c>
      <c r="J25" s="2">
        <v>66441</v>
      </c>
      <c r="K25">
        <v>0</v>
      </c>
      <c r="L25">
        <v>20</v>
      </c>
      <c r="M25" t="s">
        <v>66</v>
      </c>
      <c r="N25" t="s">
        <v>44</v>
      </c>
      <c r="O25">
        <v>2171</v>
      </c>
      <c r="P25" s="1">
        <v>37885</v>
      </c>
      <c r="Q25" t="s">
        <v>67</v>
      </c>
      <c r="R25" t="s">
        <v>46</v>
      </c>
      <c r="S25" t="s">
        <v>47</v>
      </c>
      <c r="T25" t="s">
        <v>48</v>
      </c>
      <c r="U25" t="s">
        <v>49</v>
      </c>
      <c r="V25" s="1">
        <v>43559</v>
      </c>
      <c r="W25" s="1" t="s">
        <v>492</v>
      </c>
      <c r="X25" t="s">
        <v>50</v>
      </c>
      <c r="Y25" t="s">
        <v>51</v>
      </c>
      <c r="Z25" t="s">
        <v>52</v>
      </c>
      <c r="AA25" t="s">
        <v>53</v>
      </c>
      <c r="AB25">
        <v>22</v>
      </c>
      <c r="AC25" t="s">
        <v>123</v>
      </c>
      <c r="AD25" t="s">
        <v>124</v>
      </c>
      <c r="AE25">
        <v>2</v>
      </c>
      <c r="AF25">
        <v>3</v>
      </c>
      <c r="AG25">
        <v>0</v>
      </c>
      <c r="AH25" s="1">
        <v>46080</v>
      </c>
      <c r="AI25">
        <v>2</v>
      </c>
      <c r="AJ25">
        <v>3</v>
      </c>
      <c r="AK25">
        <v>1</v>
      </c>
      <c r="AL25">
        <v>22.8</v>
      </c>
      <c r="AM25" t="s">
        <v>499</v>
      </c>
      <c r="AN25">
        <v>7.4</v>
      </c>
      <c r="AO25" t="s">
        <v>521</v>
      </c>
      <c r="AP25">
        <v>5</v>
      </c>
    </row>
    <row r="26" spans="1:42" x14ac:dyDescent="0.2">
      <c r="A26" t="s">
        <v>125</v>
      </c>
      <c r="B26">
        <v>10267</v>
      </c>
      <c r="C26">
        <v>0</v>
      </c>
      <c r="D26">
        <v>0</v>
      </c>
      <c r="E26">
        <v>0</v>
      </c>
      <c r="F26">
        <v>5</v>
      </c>
      <c r="G26">
        <v>5</v>
      </c>
      <c r="H26">
        <v>3</v>
      </c>
      <c r="I26">
        <v>0</v>
      </c>
      <c r="J26" s="2">
        <v>57815</v>
      </c>
      <c r="K26">
        <v>1</v>
      </c>
      <c r="L26">
        <v>20</v>
      </c>
      <c r="M26" t="s">
        <v>66</v>
      </c>
      <c r="N26" t="s">
        <v>44</v>
      </c>
      <c r="O26">
        <v>2210</v>
      </c>
      <c r="P26" s="1">
        <v>29236</v>
      </c>
      <c r="Q26" t="s">
        <v>67</v>
      </c>
      <c r="R26" t="s">
        <v>46</v>
      </c>
      <c r="S26" t="s">
        <v>47</v>
      </c>
      <c r="T26" t="s">
        <v>48</v>
      </c>
      <c r="U26" t="s">
        <v>49</v>
      </c>
      <c r="V26" s="1">
        <v>43475</v>
      </c>
      <c r="W26" s="1">
        <v>44655</v>
      </c>
      <c r="X26" t="s">
        <v>59</v>
      </c>
      <c r="Y26" t="s">
        <v>60</v>
      </c>
      <c r="Z26" t="s">
        <v>52</v>
      </c>
      <c r="AA26" t="s">
        <v>71</v>
      </c>
      <c r="AB26">
        <v>16</v>
      </c>
      <c r="AC26" t="s">
        <v>76</v>
      </c>
      <c r="AD26" t="s">
        <v>64</v>
      </c>
      <c r="AE26">
        <v>4.8</v>
      </c>
      <c r="AF26">
        <v>5</v>
      </c>
      <c r="AG26">
        <v>0</v>
      </c>
      <c r="AH26" s="1">
        <v>44259</v>
      </c>
      <c r="AI26">
        <v>0</v>
      </c>
      <c r="AJ26">
        <v>5</v>
      </c>
      <c r="AK26">
        <v>0</v>
      </c>
      <c r="AL26">
        <v>46.7</v>
      </c>
      <c r="AM26" t="s">
        <v>502</v>
      </c>
      <c r="AN26">
        <v>7.7</v>
      </c>
      <c r="AO26" t="s">
        <v>521</v>
      </c>
      <c r="AP26">
        <v>5</v>
      </c>
    </row>
    <row r="27" spans="1:42" x14ac:dyDescent="0.2">
      <c r="A27" t="s">
        <v>126</v>
      </c>
      <c r="B27">
        <v>10199</v>
      </c>
      <c r="C27">
        <v>0</v>
      </c>
      <c r="D27">
        <v>0</v>
      </c>
      <c r="E27">
        <v>1</v>
      </c>
      <c r="F27">
        <v>4</v>
      </c>
      <c r="G27">
        <v>3</v>
      </c>
      <c r="H27">
        <v>3</v>
      </c>
      <c r="I27">
        <v>0</v>
      </c>
      <c r="J27" s="2">
        <v>103613</v>
      </c>
      <c r="K27">
        <v>1</v>
      </c>
      <c r="L27">
        <v>30</v>
      </c>
      <c r="M27" t="s">
        <v>127</v>
      </c>
      <c r="N27" t="s">
        <v>128</v>
      </c>
      <c r="O27">
        <v>6033</v>
      </c>
      <c r="P27" s="1">
        <v>28336</v>
      </c>
      <c r="Q27" t="s">
        <v>45</v>
      </c>
      <c r="R27" t="s">
        <v>46</v>
      </c>
      <c r="S27" t="s">
        <v>47</v>
      </c>
      <c r="T27" t="s">
        <v>48</v>
      </c>
      <c r="U27" t="s">
        <v>88</v>
      </c>
      <c r="V27" s="1">
        <v>44609</v>
      </c>
      <c r="W27" s="1">
        <v>45341</v>
      </c>
      <c r="X27" t="s">
        <v>129</v>
      </c>
      <c r="Y27" t="s">
        <v>110</v>
      </c>
      <c r="Z27" t="s">
        <v>61</v>
      </c>
      <c r="AA27" t="s">
        <v>62</v>
      </c>
      <c r="AB27">
        <v>4</v>
      </c>
      <c r="AC27" t="s">
        <v>54</v>
      </c>
      <c r="AD27" t="s">
        <v>64</v>
      </c>
      <c r="AE27">
        <v>3.5</v>
      </c>
      <c r="AF27">
        <v>5</v>
      </c>
      <c r="AG27">
        <v>7</v>
      </c>
      <c r="AH27" s="1">
        <v>44936</v>
      </c>
      <c r="AI27">
        <v>0</v>
      </c>
      <c r="AJ27">
        <v>2</v>
      </c>
      <c r="AK27">
        <v>0</v>
      </c>
      <c r="AL27">
        <v>49.1</v>
      </c>
      <c r="AM27" t="s">
        <v>502</v>
      </c>
      <c r="AN27">
        <v>4.5999999999999996</v>
      </c>
      <c r="AO27" t="s">
        <v>508</v>
      </c>
      <c r="AP27">
        <v>4</v>
      </c>
    </row>
    <row r="28" spans="1:42" x14ac:dyDescent="0.2">
      <c r="A28" t="s">
        <v>130</v>
      </c>
      <c r="B28">
        <v>10081</v>
      </c>
      <c r="C28">
        <v>1</v>
      </c>
      <c r="D28">
        <v>1</v>
      </c>
      <c r="E28">
        <v>0</v>
      </c>
      <c r="F28">
        <v>1</v>
      </c>
      <c r="G28">
        <v>1</v>
      </c>
      <c r="H28">
        <v>3</v>
      </c>
      <c r="I28">
        <v>1</v>
      </c>
      <c r="J28" s="2">
        <v>106367</v>
      </c>
      <c r="K28">
        <v>0</v>
      </c>
      <c r="L28">
        <v>26</v>
      </c>
      <c r="M28" t="s">
        <v>131</v>
      </c>
      <c r="N28" t="s">
        <v>44</v>
      </c>
      <c r="O28">
        <v>2468</v>
      </c>
      <c r="P28" s="1">
        <v>36620</v>
      </c>
      <c r="Q28" t="s">
        <v>67</v>
      </c>
      <c r="R28" t="s">
        <v>58</v>
      </c>
      <c r="S28" t="s">
        <v>47</v>
      </c>
      <c r="T28" t="s">
        <v>48</v>
      </c>
      <c r="U28" t="s">
        <v>88</v>
      </c>
      <c r="V28" s="1">
        <v>44973</v>
      </c>
      <c r="W28" s="1" t="s">
        <v>492</v>
      </c>
      <c r="X28" t="s">
        <v>50</v>
      </c>
      <c r="Y28" t="s">
        <v>51</v>
      </c>
      <c r="Z28" t="s">
        <v>132</v>
      </c>
      <c r="AA28" t="s">
        <v>133</v>
      </c>
      <c r="AB28">
        <v>3</v>
      </c>
      <c r="AC28" t="s">
        <v>90</v>
      </c>
      <c r="AD28" t="s">
        <v>64</v>
      </c>
      <c r="AE28">
        <v>5</v>
      </c>
      <c r="AF28">
        <v>4</v>
      </c>
      <c r="AG28">
        <v>3</v>
      </c>
      <c r="AH28" s="1">
        <v>46071</v>
      </c>
      <c r="AI28">
        <v>0</v>
      </c>
      <c r="AJ28">
        <v>4</v>
      </c>
      <c r="AK28">
        <v>1</v>
      </c>
      <c r="AL28">
        <v>26.4</v>
      </c>
      <c r="AM28" t="s">
        <v>500</v>
      </c>
      <c r="AN28">
        <v>3.6</v>
      </c>
      <c r="AO28" t="s">
        <v>508</v>
      </c>
      <c r="AP28">
        <v>4</v>
      </c>
    </row>
    <row r="29" spans="1:42" x14ac:dyDescent="0.2">
      <c r="A29" t="s">
        <v>134</v>
      </c>
      <c r="B29">
        <v>10175</v>
      </c>
      <c r="C29">
        <v>0</v>
      </c>
      <c r="D29">
        <v>0</v>
      </c>
      <c r="E29">
        <v>1</v>
      </c>
      <c r="F29">
        <v>5</v>
      </c>
      <c r="G29">
        <v>5</v>
      </c>
      <c r="H29">
        <v>3</v>
      </c>
      <c r="I29">
        <v>0</v>
      </c>
      <c r="J29" s="2">
        <v>74312</v>
      </c>
      <c r="K29">
        <v>1</v>
      </c>
      <c r="L29">
        <v>18</v>
      </c>
      <c r="M29" t="s">
        <v>135</v>
      </c>
      <c r="N29" t="s">
        <v>44</v>
      </c>
      <c r="O29">
        <v>1901</v>
      </c>
      <c r="P29" s="1">
        <v>30385</v>
      </c>
      <c r="Q29" t="s">
        <v>45</v>
      </c>
      <c r="R29" t="s">
        <v>46</v>
      </c>
      <c r="S29" t="s">
        <v>47</v>
      </c>
      <c r="T29" t="s">
        <v>48</v>
      </c>
      <c r="U29" t="s">
        <v>118</v>
      </c>
      <c r="V29" s="1">
        <v>44469</v>
      </c>
      <c r="W29" s="1">
        <v>44780</v>
      </c>
      <c r="X29" t="s">
        <v>136</v>
      </c>
      <c r="Y29" t="s">
        <v>60</v>
      </c>
      <c r="Z29" t="s">
        <v>52</v>
      </c>
      <c r="AA29" t="s">
        <v>137</v>
      </c>
      <c r="AB29">
        <v>2</v>
      </c>
      <c r="AC29" t="s">
        <v>63</v>
      </c>
      <c r="AD29" t="s">
        <v>64</v>
      </c>
      <c r="AE29">
        <v>3.39</v>
      </c>
      <c r="AF29">
        <v>3</v>
      </c>
      <c r="AG29">
        <v>0</v>
      </c>
      <c r="AH29" s="1">
        <v>44247</v>
      </c>
      <c r="AI29">
        <v>0</v>
      </c>
      <c r="AJ29">
        <v>14</v>
      </c>
      <c r="AK29">
        <v>0</v>
      </c>
      <c r="AL29">
        <v>43.5</v>
      </c>
      <c r="AM29" t="s">
        <v>501</v>
      </c>
      <c r="AN29">
        <v>4.8</v>
      </c>
      <c r="AO29" t="s">
        <v>508</v>
      </c>
      <c r="AP29">
        <v>4</v>
      </c>
    </row>
    <row r="30" spans="1:42" x14ac:dyDescent="0.2">
      <c r="A30" t="s">
        <v>138</v>
      </c>
      <c r="B30">
        <v>10177</v>
      </c>
      <c r="C30">
        <v>1</v>
      </c>
      <c r="D30">
        <v>1</v>
      </c>
      <c r="E30">
        <v>0</v>
      </c>
      <c r="F30">
        <v>5</v>
      </c>
      <c r="G30">
        <v>5</v>
      </c>
      <c r="H30">
        <v>3</v>
      </c>
      <c r="I30">
        <v>0</v>
      </c>
      <c r="J30" s="2">
        <v>53492</v>
      </c>
      <c r="K30">
        <v>1</v>
      </c>
      <c r="L30">
        <v>19</v>
      </c>
      <c r="M30" t="s">
        <v>43</v>
      </c>
      <c r="N30" t="s">
        <v>44</v>
      </c>
      <c r="O30">
        <v>1701</v>
      </c>
      <c r="P30" s="1">
        <v>37857</v>
      </c>
      <c r="Q30" t="s">
        <v>67</v>
      </c>
      <c r="R30" t="s">
        <v>58</v>
      </c>
      <c r="S30" t="s">
        <v>47</v>
      </c>
      <c r="T30" t="s">
        <v>48</v>
      </c>
      <c r="U30" t="s">
        <v>49</v>
      </c>
      <c r="V30" s="1">
        <v>43923</v>
      </c>
      <c r="W30" s="1">
        <v>44362</v>
      </c>
      <c r="X30" t="s">
        <v>96</v>
      </c>
      <c r="Y30" t="s">
        <v>60</v>
      </c>
      <c r="Z30" t="s">
        <v>52</v>
      </c>
      <c r="AA30" t="s">
        <v>97</v>
      </c>
      <c r="AB30">
        <v>14</v>
      </c>
      <c r="AC30" t="s">
        <v>76</v>
      </c>
      <c r="AD30" t="s">
        <v>64</v>
      </c>
      <c r="AE30">
        <v>3.35</v>
      </c>
      <c r="AF30">
        <v>4</v>
      </c>
      <c r="AG30">
        <v>0</v>
      </c>
      <c r="AH30" s="1">
        <v>43894</v>
      </c>
      <c r="AI30">
        <v>0</v>
      </c>
      <c r="AJ30">
        <v>6</v>
      </c>
      <c r="AK30">
        <v>0</v>
      </c>
      <c r="AL30">
        <v>23</v>
      </c>
      <c r="AM30" t="s">
        <v>499</v>
      </c>
      <c r="AN30">
        <v>6.4</v>
      </c>
      <c r="AO30" t="s">
        <v>521</v>
      </c>
      <c r="AP30">
        <v>5</v>
      </c>
    </row>
    <row r="31" spans="1:42" x14ac:dyDescent="0.2">
      <c r="A31" t="s">
        <v>139</v>
      </c>
      <c r="B31">
        <v>10238</v>
      </c>
      <c r="C31">
        <v>1</v>
      </c>
      <c r="D31">
        <v>1</v>
      </c>
      <c r="E31">
        <v>0</v>
      </c>
      <c r="F31">
        <v>1</v>
      </c>
      <c r="G31">
        <v>1</v>
      </c>
      <c r="H31">
        <v>3</v>
      </c>
      <c r="I31">
        <v>1</v>
      </c>
      <c r="J31" s="2">
        <v>63000</v>
      </c>
      <c r="K31">
        <v>0</v>
      </c>
      <c r="L31">
        <v>1</v>
      </c>
      <c r="M31" t="s">
        <v>140</v>
      </c>
      <c r="N31" t="s">
        <v>44</v>
      </c>
      <c r="O31">
        <v>1450</v>
      </c>
      <c r="P31" s="1">
        <v>36854</v>
      </c>
      <c r="Q31" t="s">
        <v>67</v>
      </c>
      <c r="R31" t="s">
        <v>58</v>
      </c>
      <c r="S31" t="s">
        <v>47</v>
      </c>
      <c r="T31" t="s">
        <v>48</v>
      </c>
      <c r="U31" t="s">
        <v>88</v>
      </c>
      <c r="V31" s="1">
        <v>42670</v>
      </c>
      <c r="W31" s="1" t="s">
        <v>492</v>
      </c>
      <c r="X31" t="s">
        <v>50</v>
      </c>
      <c r="Y31" t="s">
        <v>51</v>
      </c>
      <c r="Z31" t="s">
        <v>132</v>
      </c>
      <c r="AA31" t="s">
        <v>133</v>
      </c>
      <c r="AB31">
        <v>1</v>
      </c>
      <c r="AC31" t="s">
        <v>90</v>
      </c>
      <c r="AD31" t="s">
        <v>64</v>
      </c>
      <c r="AE31">
        <v>4.5</v>
      </c>
      <c r="AF31">
        <v>2</v>
      </c>
      <c r="AG31">
        <v>6</v>
      </c>
      <c r="AH31" s="1">
        <v>46037</v>
      </c>
      <c r="AI31">
        <v>0</v>
      </c>
      <c r="AJ31">
        <v>14</v>
      </c>
      <c r="AK31">
        <v>1</v>
      </c>
      <c r="AL31">
        <v>25.8</v>
      </c>
      <c r="AM31" t="s">
        <v>500</v>
      </c>
      <c r="AN31">
        <v>9.8000000000000007</v>
      </c>
      <c r="AO31" t="s">
        <v>521</v>
      </c>
      <c r="AP31">
        <v>5</v>
      </c>
    </row>
    <row r="32" spans="1:42" x14ac:dyDescent="0.2">
      <c r="A32" t="s">
        <v>141</v>
      </c>
      <c r="B32">
        <v>10184</v>
      </c>
      <c r="C32">
        <v>0</v>
      </c>
      <c r="D32">
        <v>0</v>
      </c>
      <c r="E32">
        <v>1</v>
      </c>
      <c r="F32">
        <v>1</v>
      </c>
      <c r="G32">
        <v>5</v>
      </c>
      <c r="H32">
        <v>3</v>
      </c>
      <c r="I32">
        <v>0</v>
      </c>
      <c r="J32" s="2">
        <v>65288</v>
      </c>
      <c r="K32">
        <v>0</v>
      </c>
      <c r="L32">
        <v>20</v>
      </c>
      <c r="M32" t="s">
        <v>66</v>
      </c>
      <c r="N32" t="s">
        <v>44</v>
      </c>
      <c r="O32">
        <v>1013</v>
      </c>
      <c r="P32" s="1">
        <v>35274</v>
      </c>
      <c r="Q32" t="s">
        <v>45</v>
      </c>
      <c r="R32" t="s">
        <v>46</v>
      </c>
      <c r="S32" t="s">
        <v>47</v>
      </c>
      <c r="T32" t="s">
        <v>48</v>
      </c>
      <c r="U32" t="s">
        <v>49</v>
      </c>
      <c r="V32" s="1">
        <v>44833</v>
      </c>
      <c r="W32" s="1" t="s">
        <v>492</v>
      </c>
      <c r="X32" t="s">
        <v>50</v>
      </c>
      <c r="Y32" t="s">
        <v>51</v>
      </c>
      <c r="Z32" t="s">
        <v>52</v>
      </c>
      <c r="AA32" t="s">
        <v>75</v>
      </c>
      <c r="AC32" t="s">
        <v>76</v>
      </c>
      <c r="AD32" t="s">
        <v>64</v>
      </c>
      <c r="AE32">
        <v>3.19</v>
      </c>
      <c r="AF32">
        <v>3</v>
      </c>
      <c r="AG32">
        <v>0</v>
      </c>
      <c r="AH32" s="1">
        <v>46054</v>
      </c>
      <c r="AI32">
        <v>0</v>
      </c>
      <c r="AJ32">
        <v>9</v>
      </c>
      <c r="AK32">
        <v>1</v>
      </c>
      <c r="AL32">
        <v>30.1</v>
      </c>
      <c r="AM32" t="s">
        <v>500</v>
      </c>
      <c r="AN32">
        <v>3.8</v>
      </c>
      <c r="AO32" t="s">
        <v>508</v>
      </c>
      <c r="AP32">
        <v>4</v>
      </c>
    </row>
    <row r="33" spans="1:42" x14ac:dyDescent="0.2">
      <c r="A33" t="s">
        <v>142</v>
      </c>
      <c r="B33">
        <v>10203</v>
      </c>
      <c r="C33">
        <v>0</v>
      </c>
      <c r="D33">
        <v>3</v>
      </c>
      <c r="E33">
        <v>0</v>
      </c>
      <c r="F33">
        <v>3</v>
      </c>
      <c r="G33">
        <v>5</v>
      </c>
      <c r="H33">
        <v>3</v>
      </c>
      <c r="I33">
        <v>1</v>
      </c>
      <c r="J33" s="2">
        <v>64375</v>
      </c>
      <c r="K33">
        <v>0</v>
      </c>
      <c r="L33">
        <v>19</v>
      </c>
      <c r="M33" t="s">
        <v>43</v>
      </c>
      <c r="N33" t="s">
        <v>44</v>
      </c>
      <c r="O33">
        <v>2043</v>
      </c>
      <c r="P33" s="1">
        <v>30254</v>
      </c>
      <c r="Q33" t="s">
        <v>67</v>
      </c>
      <c r="R33" t="s">
        <v>143</v>
      </c>
      <c r="S33" t="s">
        <v>47</v>
      </c>
      <c r="T33" t="s">
        <v>48</v>
      </c>
      <c r="U33" t="s">
        <v>88</v>
      </c>
      <c r="V33" s="1">
        <v>44511</v>
      </c>
      <c r="W33" s="1" t="s">
        <v>492</v>
      </c>
      <c r="X33" t="s">
        <v>50</v>
      </c>
      <c r="Y33" t="s">
        <v>51</v>
      </c>
      <c r="Z33" t="s">
        <v>52</v>
      </c>
      <c r="AA33" t="s">
        <v>69</v>
      </c>
      <c r="AB33">
        <v>20</v>
      </c>
      <c r="AC33" t="s">
        <v>90</v>
      </c>
      <c r="AD33" t="s">
        <v>64</v>
      </c>
      <c r="AE33">
        <v>3.5</v>
      </c>
      <c r="AF33">
        <v>5</v>
      </c>
      <c r="AG33">
        <v>0</v>
      </c>
      <c r="AH33" s="1">
        <v>46043</v>
      </c>
      <c r="AI33">
        <v>0</v>
      </c>
      <c r="AJ33">
        <v>17</v>
      </c>
      <c r="AK33">
        <v>1</v>
      </c>
      <c r="AL33">
        <v>43.8</v>
      </c>
      <c r="AM33" t="s">
        <v>501</v>
      </c>
      <c r="AN33">
        <v>4.8</v>
      </c>
      <c r="AO33" t="s">
        <v>508</v>
      </c>
      <c r="AP33">
        <v>4</v>
      </c>
    </row>
    <row r="34" spans="1:42" x14ac:dyDescent="0.2">
      <c r="A34" t="s">
        <v>144</v>
      </c>
      <c r="B34">
        <v>10188</v>
      </c>
      <c r="C34">
        <v>1</v>
      </c>
      <c r="D34">
        <v>1</v>
      </c>
      <c r="E34">
        <v>0</v>
      </c>
      <c r="F34">
        <v>5</v>
      </c>
      <c r="G34">
        <v>6</v>
      </c>
      <c r="H34">
        <v>3</v>
      </c>
      <c r="I34">
        <v>0</v>
      </c>
      <c r="J34" s="2">
        <v>74326</v>
      </c>
      <c r="K34">
        <v>1</v>
      </c>
      <c r="L34">
        <v>3</v>
      </c>
      <c r="M34" t="s">
        <v>145</v>
      </c>
      <c r="N34" t="s">
        <v>146</v>
      </c>
      <c r="O34">
        <v>21851</v>
      </c>
      <c r="P34" s="1">
        <v>28277</v>
      </c>
      <c r="Q34" t="s">
        <v>67</v>
      </c>
      <c r="R34" t="s">
        <v>58</v>
      </c>
      <c r="S34" t="s">
        <v>113</v>
      </c>
      <c r="T34" t="s">
        <v>48</v>
      </c>
      <c r="U34" t="s">
        <v>88</v>
      </c>
      <c r="V34" s="1">
        <v>43692</v>
      </c>
      <c r="W34" s="1">
        <v>44775</v>
      </c>
      <c r="X34" t="s">
        <v>96</v>
      </c>
      <c r="Y34" t="s">
        <v>60</v>
      </c>
      <c r="Z34" t="s">
        <v>5</v>
      </c>
      <c r="AA34" t="s">
        <v>147</v>
      </c>
      <c r="AB34">
        <v>17</v>
      </c>
      <c r="AC34" t="s">
        <v>76</v>
      </c>
      <c r="AD34" t="s">
        <v>64</v>
      </c>
      <c r="AE34">
        <v>3.14</v>
      </c>
      <c r="AF34">
        <v>5</v>
      </c>
      <c r="AG34">
        <v>0</v>
      </c>
      <c r="AH34" s="1">
        <v>43871</v>
      </c>
      <c r="AI34">
        <v>1</v>
      </c>
      <c r="AJ34">
        <v>19</v>
      </c>
      <c r="AK34">
        <v>0</v>
      </c>
      <c r="AL34">
        <v>49.2</v>
      </c>
      <c r="AM34" t="s">
        <v>502</v>
      </c>
      <c r="AN34">
        <v>7</v>
      </c>
      <c r="AO34" t="s">
        <v>521</v>
      </c>
      <c r="AP34">
        <v>5</v>
      </c>
    </row>
    <row r="35" spans="1:42" x14ac:dyDescent="0.2">
      <c r="A35" t="s">
        <v>148</v>
      </c>
      <c r="B35">
        <v>10107</v>
      </c>
      <c r="C35">
        <v>0</v>
      </c>
      <c r="D35">
        <v>0</v>
      </c>
      <c r="E35">
        <v>0</v>
      </c>
      <c r="F35">
        <v>1</v>
      </c>
      <c r="G35">
        <v>5</v>
      </c>
      <c r="H35">
        <v>3</v>
      </c>
      <c r="I35">
        <v>0</v>
      </c>
      <c r="J35" s="2">
        <v>63763</v>
      </c>
      <c r="K35">
        <v>0</v>
      </c>
      <c r="L35">
        <v>20</v>
      </c>
      <c r="M35" t="s">
        <v>66</v>
      </c>
      <c r="N35" t="s">
        <v>44</v>
      </c>
      <c r="O35">
        <v>2148</v>
      </c>
      <c r="P35" s="1">
        <v>34030</v>
      </c>
      <c r="Q35" t="s">
        <v>67</v>
      </c>
      <c r="R35" t="s">
        <v>46</v>
      </c>
      <c r="S35" t="s">
        <v>47</v>
      </c>
      <c r="T35" t="s">
        <v>48</v>
      </c>
      <c r="U35" t="s">
        <v>88</v>
      </c>
      <c r="V35" s="1">
        <v>43895</v>
      </c>
      <c r="W35" s="1" t="s">
        <v>492</v>
      </c>
      <c r="X35" t="s">
        <v>50</v>
      </c>
      <c r="Y35" t="s">
        <v>51</v>
      </c>
      <c r="Z35" t="s">
        <v>52</v>
      </c>
      <c r="AA35" t="s">
        <v>78</v>
      </c>
      <c r="AB35">
        <v>11</v>
      </c>
      <c r="AC35" t="s">
        <v>86</v>
      </c>
      <c r="AD35" t="s">
        <v>64</v>
      </c>
      <c r="AE35">
        <v>4.51</v>
      </c>
      <c r="AF35">
        <v>4</v>
      </c>
      <c r="AG35">
        <v>0</v>
      </c>
      <c r="AH35" s="1">
        <v>46074</v>
      </c>
      <c r="AI35">
        <v>0</v>
      </c>
      <c r="AJ35">
        <v>3</v>
      </c>
      <c r="AK35">
        <v>1</v>
      </c>
      <c r="AL35">
        <v>33.5</v>
      </c>
      <c r="AM35" t="s">
        <v>500</v>
      </c>
      <c r="AN35">
        <v>6.5</v>
      </c>
      <c r="AO35" t="s">
        <v>521</v>
      </c>
      <c r="AP35">
        <v>5</v>
      </c>
    </row>
    <row r="36" spans="1:42" x14ac:dyDescent="0.2">
      <c r="A36" t="s">
        <v>149</v>
      </c>
      <c r="B36">
        <v>10181</v>
      </c>
      <c r="C36">
        <v>1</v>
      </c>
      <c r="D36">
        <v>1</v>
      </c>
      <c r="E36">
        <v>1</v>
      </c>
      <c r="F36">
        <v>1</v>
      </c>
      <c r="G36">
        <v>5</v>
      </c>
      <c r="H36">
        <v>3</v>
      </c>
      <c r="I36">
        <v>0</v>
      </c>
      <c r="J36" s="2">
        <v>62162</v>
      </c>
      <c r="K36">
        <v>0</v>
      </c>
      <c r="L36">
        <v>20</v>
      </c>
      <c r="M36" t="s">
        <v>66</v>
      </c>
      <c r="N36" t="s">
        <v>44</v>
      </c>
      <c r="O36">
        <v>1890</v>
      </c>
      <c r="P36" s="1">
        <v>33104</v>
      </c>
      <c r="Q36" t="s">
        <v>45</v>
      </c>
      <c r="R36" t="s">
        <v>58</v>
      </c>
      <c r="S36" t="s">
        <v>47</v>
      </c>
      <c r="T36" t="s">
        <v>48</v>
      </c>
      <c r="U36" t="s">
        <v>49</v>
      </c>
      <c r="V36" s="1">
        <v>43559</v>
      </c>
      <c r="W36" s="1" t="s">
        <v>492</v>
      </c>
      <c r="X36" t="s">
        <v>50</v>
      </c>
      <c r="Y36" t="s">
        <v>51</v>
      </c>
      <c r="Z36" t="s">
        <v>52</v>
      </c>
      <c r="AA36" t="s">
        <v>85</v>
      </c>
      <c r="AB36">
        <v>19</v>
      </c>
      <c r="AC36" t="s">
        <v>63</v>
      </c>
      <c r="AD36" t="s">
        <v>64</v>
      </c>
      <c r="AE36">
        <v>3.25</v>
      </c>
      <c r="AF36">
        <v>5</v>
      </c>
      <c r="AG36">
        <v>0</v>
      </c>
      <c r="AH36" s="1">
        <v>46036</v>
      </c>
      <c r="AI36">
        <v>0</v>
      </c>
      <c r="AJ36">
        <v>15</v>
      </c>
      <c r="AK36">
        <v>1</v>
      </c>
      <c r="AL36">
        <v>36</v>
      </c>
      <c r="AM36" t="s">
        <v>501</v>
      </c>
      <c r="AN36">
        <v>7.4</v>
      </c>
      <c r="AO36" t="s">
        <v>521</v>
      </c>
      <c r="AP36">
        <v>5</v>
      </c>
    </row>
    <row r="37" spans="1:42" x14ac:dyDescent="0.2">
      <c r="A37" t="s">
        <v>150</v>
      </c>
      <c r="B37">
        <v>10150</v>
      </c>
      <c r="C37">
        <v>0</v>
      </c>
      <c r="D37">
        <v>0</v>
      </c>
      <c r="E37">
        <v>1</v>
      </c>
      <c r="F37">
        <v>1</v>
      </c>
      <c r="G37">
        <v>4</v>
      </c>
      <c r="H37">
        <v>3</v>
      </c>
      <c r="I37">
        <v>0</v>
      </c>
      <c r="J37" s="2">
        <v>77692</v>
      </c>
      <c r="K37">
        <v>0</v>
      </c>
      <c r="L37">
        <v>25</v>
      </c>
      <c r="M37" t="s">
        <v>151</v>
      </c>
      <c r="N37" t="s">
        <v>44</v>
      </c>
      <c r="O37">
        <v>2184</v>
      </c>
      <c r="P37" s="1">
        <v>29181</v>
      </c>
      <c r="Q37" t="s">
        <v>45</v>
      </c>
      <c r="R37" t="s">
        <v>46</v>
      </c>
      <c r="S37" t="s">
        <v>47</v>
      </c>
      <c r="T37" t="s">
        <v>48</v>
      </c>
      <c r="U37" t="s">
        <v>49</v>
      </c>
      <c r="V37" s="1">
        <v>43692</v>
      </c>
      <c r="W37" s="1" t="s">
        <v>492</v>
      </c>
      <c r="X37" t="s">
        <v>50</v>
      </c>
      <c r="Y37" t="s">
        <v>51</v>
      </c>
      <c r="Z37" t="s">
        <v>81</v>
      </c>
      <c r="AA37" t="s">
        <v>152</v>
      </c>
      <c r="AB37">
        <v>5</v>
      </c>
      <c r="AC37" t="s">
        <v>76</v>
      </c>
      <c r="AD37" t="s">
        <v>64</v>
      </c>
      <c r="AE37">
        <v>3.84</v>
      </c>
      <c r="AF37">
        <v>3</v>
      </c>
      <c r="AG37">
        <v>5</v>
      </c>
      <c r="AH37" s="1">
        <v>46043</v>
      </c>
      <c r="AI37">
        <v>0</v>
      </c>
      <c r="AJ37">
        <v>4</v>
      </c>
      <c r="AK37">
        <v>1</v>
      </c>
      <c r="AL37">
        <v>46.8</v>
      </c>
      <c r="AM37" t="s">
        <v>502</v>
      </c>
      <c r="AN37">
        <v>7</v>
      </c>
      <c r="AO37" t="s">
        <v>521</v>
      </c>
      <c r="AP37">
        <v>5</v>
      </c>
    </row>
    <row r="38" spans="1:42" x14ac:dyDescent="0.2">
      <c r="A38" t="s">
        <v>153</v>
      </c>
      <c r="B38">
        <v>10001</v>
      </c>
      <c r="C38">
        <v>0</v>
      </c>
      <c r="D38">
        <v>0</v>
      </c>
      <c r="E38">
        <v>1</v>
      </c>
      <c r="F38">
        <v>1</v>
      </c>
      <c r="G38">
        <v>5</v>
      </c>
      <c r="H38">
        <v>4</v>
      </c>
      <c r="I38">
        <v>0</v>
      </c>
      <c r="J38" s="2">
        <v>72640</v>
      </c>
      <c r="K38">
        <v>0</v>
      </c>
      <c r="L38">
        <v>18</v>
      </c>
      <c r="M38" t="s">
        <v>135</v>
      </c>
      <c r="N38" t="s">
        <v>44</v>
      </c>
      <c r="O38">
        <v>2169</v>
      </c>
      <c r="P38" s="1">
        <v>35286</v>
      </c>
      <c r="Q38" t="s">
        <v>45</v>
      </c>
      <c r="R38" t="s">
        <v>46</v>
      </c>
      <c r="S38" t="s">
        <v>47</v>
      </c>
      <c r="T38" t="s">
        <v>48</v>
      </c>
      <c r="U38" t="s">
        <v>49</v>
      </c>
      <c r="V38" s="1">
        <v>45319</v>
      </c>
      <c r="W38" s="1" t="s">
        <v>492</v>
      </c>
      <c r="X38" t="s">
        <v>50</v>
      </c>
      <c r="Y38" t="s">
        <v>51</v>
      </c>
      <c r="Z38" t="s">
        <v>52</v>
      </c>
      <c r="AA38" t="s">
        <v>137</v>
      </c>
      <c r="AB38">
        <v>2</v>
      </c>
      <c r="AC38" t="s">
        <v>63</v>
      </c>
      <c r="AD38" t="s">
        <v>55</v>
      </c>
      <c r="AE38">
        <v>5</v>
      </c>
      <c r="AF38">
        <v>3</v>
      </c>
      <c r="AG38">
        <v>0</v>
      </c>
      <c r="AH38" s="1">
        <v>46075</v>
      </c>
      <c r="AI38">
        <v>0</v>
      </c>
      <c r="AJ38">
        <v>14</v>
      </c>
      <c r="AK38">
        <v>1</v>
      </c>
      <c r="AL38">
        <v>30</v>
      </c>
      <c r="AM38" t="s">
        <v>500</v>
      </c>
      <c r="AN38">
        <v>2.7</v>
      </c>
      <c r="AO38" t="s">
        <v>507</v>
      </c>
      <c r="AP38">
        <v>3</v>
      </c>
    </row>
    <row r="39" spans="1:42" x14ac:dyDescent="0.2">
      <c r="A39" t="s">
        <v>154</v>
      </c>
      <c r="B39">
        <v>10085</v>
      </c>
      <c r="C39">
        <v>0</v>
      </c>
      <c r="D39">
        <v>0</v>
      </c>
      <c r="E39">
        <v>0</v>
      </c>
      <c r="F39">
        <v>1</v>
      </c>
      <c r="G39">
        <v>4</v>
      </c>
      <c r="H39">
        <v>3</v>
      </c>
      <c r="I39">
        <v>0</v>
      </c>
      <c r="J39" s="2">
        <v>93396</v>
      </c>
      <c r="K39">
        <v>0</v>
      </c>
      <c r="L39">
        <v>24</v>
      </c>
      <c r="M39" t="s">
        <v>80</v>
      </c>
      <c r="N39" t="s">
        <v>44</v>
      </c>
      <c r="O39">
        <v>2132</v>
      </c>
      <c r="P39" s="1">
        <v>36621</v>
      </c>
      <c r="Q39" t="s">
        <v>67</v>
      </c>
      <c r="R39" t="s">
        <v>46</v>
      </c>
      <c r="S39" t="s">
        <v>47</v>
      </c>
      <c r="T39" t="s">
        <v>48</v>
      </c>
      <c r="U39" t="s">
        <v>49</v>
      </c>
      <c r="V39" s="1">
        <v>44511</v>
      </c>
      <c r="W39" s="1" t="s">
        <v>492</v>
      </c>
      <c r="X39" t="s">
        <v>50</v>
      </c>
      <c r="Y39" t="s">
        <v>51</v>
      </c>
      <c r="Z39" t="s">
        <v>81</v>
      </c>
      <c r="AA39" t="s">
        <v>82</v>
      </c>
      <c r="AB39">
        <v>10</v>
      </c>
      <c r="AC39" t="s">
        <v>63</v>
      </c>
      <c r="AD39" t="s">
        <v>64</v>
      </c>
      <c r="AE39">
        <v>4.96</v>
      </c>
      <c r="AF39">
        <v>4</v>
      </c>
      <c r="AG39">
        <v>6</v>
      </c>
      <c r="AH39" s="1">
        <v>46052</v>
      </c>
      <c r="AI39">
        <v>0</v>
      </c>
      <c r="AJ39">
        <v>3</v>
      </c>
      <c r="AK39">
        <v>1</v>
      </c>
      <c r="AL39">
        <v>26.4</v>
      </c>
      <c r="AM39" t="s">
        <v>500</v>
      </c>
      <c r="AN39">
        <v>4.8</v>
      </c>
      <c r="AO39" t="s">
        <v>508</v>
      </c>
      <c r="AP39">
        <v>4</v>
      </c>
    </row>
    <row r="40" spans="1:42" x14ac:dyDescent="0.2">
      <c r="A40" t="s">
        <v>155</v>
      </c>
      <c r="B40">
        <v>10115</v>
      </c>
      <c r="C40">
        <v>0</v>
      </c>
      <c r="D40">
        <v>0</v>
      </c>
      <c r="E40">
        <v>1</v>
      </c>
      <c r="F40">
        <v>1</v>
      </c>
      <c r="G40">
        <v>5</v>
      </c>
      <c r="H40">
        <v>3</v>
      </c>
      <c r="I40">
        <v>0</v>
      </c>
      <c r="J40" s="2">
        <v>52846</v>
      </c>
      <c r="K40">
        <v>0</v>
      </c>
      <c r="L40">
        <v>19</v>
      </c>
      <c r="M40" t="s">
        <v>43</v>
      </c>
      <c r="N40" t="s">
        <v>44</v>
      </c>
      <c r="O40">
        <v>1701</v>
      </c>
      <c r="P40" s="1">
        <v>35097</v>
      </c>
      <c r="Q40" t="s">
        <v>45</v>
      </c>
      <c r="R40" t="s">
        <v>46</v>
      </c>
      <c r="S40" t="s">
        <v>47</v>
      </c>
      <c r="T40" t="s">
        <v>48</v>
      </c>
      <c r="U40" t="s">
        <v>88</v>
      </c>
      <c r="V40" s="1">
        <v>44651</v>
      </c>
      <c r="W40" s="1" t="s">
        <v>492</v>
      </c>
      <c r="X40" t="s">
        <v>50</v>
      </c>
      <c r="Y40" t="s">
        <v>51</v>
      </c>
      <c r="Z40" t="s">
        <v>52</v>
      </c>
      <c r="AA40" t="s">
        <v>105</v>
      </c>
      <c r="AB40">
        <v>18</v>
      </c>
      <c r="AC40" t="s">
        <v>54</v>
      </c>
      <c r="AD40" t="s">
        <v>64</v>
      </c>
      <c r="AE40">
        <v>4.43</v>
      </c>
      <c r="AF40">
        <v>3</v>
      </c>
      <c r="AG40">
        <v>0</v>
      </c>
      <c r="AH40" s="1">
        <v>46054</v>
      </c>
      <c r="AI40">
        <v>0</v>
      </c>
      <c r="AJ40">
        <v>14</v>
      </c>
      <c r="AK40">
        <v>1</v>
      </c>
      <c r="AL40">
        <v>30.6</v>
      </c>
      <c r="AM40" t="s">
        <v>500</v>
      </c>
      <c r="AN40">
        <v>4.5</v>
      </c>
      <c r="AO40" t="s">
        <v>508</v>
      </c>
      <c r="AP40">
        <v>4</v>
      </c>
    </row>
    <row r="41" spans="1:42" x14ac:dyDescent="0.2">
      <c r="A41" t="s">
        <v>156</v>
      </c>
      <c r="B41">
        <v>10082</v>
      </c>
      <c r="C41">
        <v>0</v>
      </c>
      <c r="D41">
        <v>0</v>
      </c>
      <c r="E41">
        <v>0</v>
      </c>
      <c r="F41">
        <v>2</v>
      </c>
      <c r="G41">
        <v>3</v>
      </c>
      <c r="H41">
        <v>3</v>
      </c>
      <c r="I41">
        <v>0</v>
      </c>
      <c r="J41" s="2">
        <v>100031</v>
      </c>
      <c r="K41">
        <v>0</v>
      </c>
      <c r="L41">
        <v>27</v>
      </c>
      <c r="M41" t="s">
        <v>57</v>
      </c>
      <c r="N41" t="s">
        <v>44</v>
      </c>
      <c r="O41">
        <v>1886</v>
      </c>
      <c r="P41" s="1">
        <v>36317</v>
      </c>
      <c r="Q41" t="s">
        <v>67</v>
      </c>
      <c r="R41" t="s">
        <v>46</v>
      </c>
      <c r="S41" t="s">
        <v>47</v>
      </c>
      <c r="T41" t="s">
        <v>48</v>
      </c>
      <c r="U41" t="s">
        <v>88</v>
      </c>
      <c r="V41" s="1">
        <v>45473</v>
      </c>
      <c r="W41" s="1" t="s">
        <v>492</v>
      </c>
      <c r="X41" t="s">
        <v>50</v>
      </c>
      <c r="Y41" t="s">
        <v>51</v>
      </c>
      <c r="Z41" t="s">
        <v>61</v>
      </c>
      <c r="AA41" t="s">
        <v>62</v>
      </c>
      <c r="AB41">
        <v>4</v>
      </c>
      <c r="AC41" t="s">
        <v>54</v>
      </c>
      <c r="AD41" t="s">
        <v>64</v>
      </c>
      <c r="AE41">
        <v>5</v>
      </c>
      <c r="AF41">
        <v>5</v>
      </c>
      <c r="AG41">
        <v>6</v>
      </c>
      <c r="AH41" s="1">
        <v>46071</v>
      </c>
      <c r="AI41">
        <v>0</v>
      </c>
      <c r="AJ41">
        <v>7</v>
      </c>
      <c r="AK41">
        <v>1</v>
      </c>
      <c r="AL41">
        <v>27.2</v>
      </c>
      <c r="AM41" t="s">
        <v>500</v>
      </c>
      <c r="AN41">
        <v>2.2000000000000002</v>
      </c>
      <c r="AO41" t="s">
        <v>507</v>
      </c>
      <c r="AP41">
        <v>3</v>
      </c>
    </row>
    <row r="42" spans="1:42" x14ac:dyDescent="0.2">
      <c r="A42" t="s">
        <v>157</v>
      </c>
      <c r="B42">
        <v>10040</v>
      </c>
      <c r="C42">
        <v>0</v>
      </c>
      <c r="D42">
        <v>0</v>
      </c>
      <c r="E42">
        <v>0</v>
      </c>
      <c r="F42">
        <v>1</v>
      </c>
      <c r="G42">
        <v>6</v>
      </c>
      <c r="H42">
        <v>3</v>
      </c>
      <c r="I42">
        <v>0</v>
      </c>
      <c r="J42" s="2">
        <v>71860</v>
      </c>
      <c r="K42">
        <v>0</v>
      </c>
      <c r="L42">
        <v>3</v>
      </c>
      <c r="M42" t="s">
        <v>145</v>
      </c>
      <c r="N42" t="s">
        <v>158</v>
      </c>
      <c r="O42">
        <v>5664</v>
      </c>
      <c r="P42" s="1">
        <v>27895</v>
      </c>
      <c r="Q42" t="s">
        <v>67</v>
      </c>
      <c r="R42" t="s">
        <v>46</v>
      </c>
      <c r="S42" t="s">
        <v>47</v>
      </c>
      <c r="T42" t="s">
        <v>48</v>
      </c>
      <c r="U42" t="s">
        <v>49</v>
      </c>
      <c r="V42" s="1">
        <v>44791</v>
      </c>
      <c r="W42" s="1" t="s">
        <v>492</v>
      </c>
      <c r="X42" t="s">
        <v>50</v>
      </c>
      <c r="Y42" t="s">
        <v>51</v>
      </c>
      <c r="Z42" t="s">
        <v>5</v>
      </c>
      <c r="AA42" t="s">
        <v>147</v>
      </c>
      <c r="AB42">
        <v>17</v>
      </c>
      <c r="AC42" t="s">
        <v>63</v>
      </c>
      <c r="AD42" t="s">
        <v>64</v>
      </c>
      <c r="AE42">
        <v>5</v>
      </c>
      <c r="AF42">
        <v>5</v>
      </c>
      <c r="AG42">
        <v>0</v>
      </c>
      <c r="AH42" s="1">
        <v>46043</v>
      </c>
      <c r="AI42">
        <v>0</v>
      </c>
      <c r="AJ42">
        <v>7</v>
      </c>
      <c r="AK42">
        <v>1</v>
      </c>
      <c r="AL42">
        <v>50.3</v>
      </c>
      <c r="AM42" t="s">
        <v>502</v>
      </c>
      <c r="AN42">
        <v>4</v>
      </c>
      <c r="AO42" t="s">
        <v>508</v>
      </c>
      <c r="AP42">
        <v>4</v>
      </c>
    </row>
    <row r="43" spans="1:42" x14ac:dyDescent="0.2">
      <c r="A43" t="s">
        <v>159</v>
      </c>
      <c r="B43">
        <v>10067</v>
      </c>
      <c r="C43">
        <v>0</v>
      </c>
      <c r="D43">
        <v>0</v>
      </c>
      <c r="E43">
        <v>0</v>
      </c>
      <c r="F43">
        <v>1</v>
      </c>
      <c r="G43">
        <v>5</v>
      </c>
      <c r="H43">
        <v>3</v>
      </c>
      <c r="I43">
        <v>0</v>
      </c>
      <c r="J43" s="2">
        <v>61656</v>
      </c>
      <c r="K43">
        <v>0</v>
      </c>
      <c r="L43">
        <v>19</v>
      </c>
      <c r="M43" t="s">
        <v>43</v>
      </c>
      <c r="N43" t="s">
        <v>44</v>
      </c>
      <c r="O43">
        <v>2763</v>
      </c>
      <c r="P43" s="1">
        <v>23378</v>
      </c>
      <c r="Q43" t="s">
        <v>67</v>
      </c>
      <c r="R43" t="s">
        <v>46</v>
      </c>
      <c r="S43" t="s">
        <v>47</v>
      </c>
      <c r="T43" t="s">
        <v>48</v>
      </c>
      <c r="U43" t="s">
        <v>49</v>
      </c>
      <c r="V43" s="1">
        <v>44833</v>
      </c>
      <c r="W43" s="1" t="s">
        <v>492</v>
      </c>
      <c r="X43" t="s">
        <v>50</v>
      </c>
      <c r="Y43" t="s">
        <v>51</v>
      </c>
      <c r="Z43" t="s">
        <v>52</v>
      </c>
      <c r="AA43" t="s">
        <v>53</v>
      </c>
      <c r="AB43">
        <v>22</v>
      </c>
      <c r="AC43" t="s">
        <v>76</v>
      </c>
      <c r="AD43" t="s">
        <v>64</v>
      </c>
      <c r="AE43">
        <v>5</v>
      </c>
      <c r="AF43">
        <v>4</v>
      </c>
      <c r="AG43">
        <v>0</v>
      </c>
      <c r="AH43" s="1">
        <v>46065</v>
      </c>
      <c r="AI43">
        <v>0</v>
      </c>
      <c r="AJ43">
        <v>11</v>
      </c>
      <c r="AK43">
        <v>1</v>
      </c>
      <c r="AL43">
        <v>62.7</v>
      </c>
      <c r="AM43" t="s">
        <v>518</v>
      </c>
      <c r="AN43">
        <v>3.8</v>
      </c>
      <c r="AO43" t="s">
        <v>508</v>
      </c>
      <c r="AP43">
        <v>4</v>
      </c>
    </row>
    <row r="44" spans="1:42" x14ac:dyDescent="0.2">
      <c r="A44" t="s">
        <v>160</v>
      </c>
      <c r="B44">
        <v>10108</v>
      </c>
      <c r="C44">
        <v>1</v>
      </c>
      <c r="D44">
        <v>1</v>
      </c>
      <c r="E44">
        <v>1</v>
      </c>
      <c r="F44">
        <v>1</v>
      </c>
      <c r="G44">
        <v>3</v>
      </c>
      <c r="H44">
        <v>3</v>
      </c>
      <c r="I44">
        <v>0</v>
      </c>
      <c r="J44" s="2">
        <v>110929</v>
      </c>
      <c r="K44">
        <v>0</v>
      </c>
      <c r="L44">
        <v>5</v>
      </c>
      <c r="M44" t="s">
        <v>161</v>
      </c>
      <c r="N44" t="s">
        <v>44</v>
      </c>
      <c r="O44">
        <v>2045</v>
      </c>
      <c r="P44" s="1">
        <v>31087</v>
      </c>
      <c r="Q44" t="s">
        <v>45</v>
      </c>
      <c r="R44" t="s">
        <v>58</v>
      </c>
      <c r="S44" t="s">
        <v>47</v>
      </c>
      <c r="T44" t="s">
        <v>48</v>
      </c>
      <c r="U44" t="s">
        <v>49</v>
      </c>
      <c r="V44" s="1">
        <v>45541</v>
      </c>
      <c r="W44" s="1" t="s">
        <v>492</v>
      </c>
      <c r="X44" t="s">
        <v>50</v>
      </c>
      <c r="Y44" t="s">
        <v>51</v>
      </c>
      <c r="Z44" t="s">
        <v>61</v>
      </c>
      <c r="AA44" t="s">
        <v>152</v>
      </c>
      <c r="AB44">
        <v>5</v>
      </c>
      <c r="AC44" t="s">
        <v>63</v>
      </c>
      <c r="AD44" t="s">
        <v>64</v>
      </c>
      <c r="AE44">
        <v>4.5</v>
      </c>
      <c r="AF44">
        <v>5</v>
      </c>
      <c r="AG44">
        <v>7</v>
      </c>
      <c r="AH44" s="1">
        <v>46037</v>
      </c>
      <c r="AI44">
        <v>0</v>
      </c>
      <c r="AJ44">
        <v>8</v>
      </c>
      <c r="AK44">
        <v>1</v>
      </c>
      <c r="AL44">
        <v>41.6</v>
      </c>
      <c r="AM44" t="s">
        <v>501</v>
      </c>
      <c r="AN44">
        <v>1.8</v>
      </c>
      <c r="AO44" t="s">
        <v>506</v>
      </c>
      <c r="AP44">
        <v>2</v>
      </c>
    </row>
    <row r="45" spans="1:42" x14ac:dyDescent="0.2">
      <c r="A45" t="s">
        <v>162</v>
      </c>
      <c r="B45">
        <v>10210</v>
      </c>
      <c r="C45">
        <v>0</v>
      </c>
      <c r="D45">
        <v>0</v>
      </c>
      <c r="E45">
        <v>0</v>
      </c>
      <c r="F45">
        <v>1</v>
      </c>
      <c r="G45">
        <v>5</v>
      </c>
      <c r="H45">
        <v>3</v>
      </c>
      <c r="I45">
        <v>0</v>
      </c>
      <c r="J45" s="2">
        <v>54237</v>
      </c>
      <c r="K45">
        <v>0</v>
      </c>
      <c r="L45">
        <v>19</v>
      </c>
      <c r="M45" t="s">
        <v>43</v>
      </c>
      <c r="N45" t="s">
        <v>44</v>
      </c>
      <c r="O45">
        <v>2170</v>
      </c>
      <c r="P45" s="1">
        <v>33646</v>
      </c>
      <c r="Q45" t="s">
        <v>67</v>
      </c>
      <c r="R45" t="s">
        <v>46</v>
      </c>
      <c r="S45" t="s">
        <v>47</v>
      </c>
      <c r="T45" t="s">
        <v>48</v>
      </c>
      <c r="U45" t="s">
        <v>49</v>
      </c>
      <c r="V45" s="1">
        <v>44693</v>
      </c>
      <c r="W45" s="1" t="s">
        <v>492</v>
      </c>
      <c r="X45" t="s">
        <v>50</v>
      </c>
      <c r="Y45" t="s">
        <v>51</v>
      </c>
      <c r="Z45" t="s">
        <v>52</v>
      </c>
      <c r="AA45" t="s">
        <v>71</v>
      </c>
      <c r="AB45">
        <v>16</v>
      </c>
      <c r="AC45" t="s">
        <v>63</v>
      </c>
      <c r="AD45" t="s">
        <v>64</v>
      </c>
      <c r="AE45">
        <v>3.3</v>
      </c>
      <c r="AF45">
        <v>4</v>
      </c>
      <c r="AG45">
        <v>0</v>
      </c>
      <c r="AH45" s="1">
        <v>46072</v>
      </c>
      <c r="AI45">
        <v>0</v>
      </c>
      <c r="AJ45">
        <v>11</v>
      </c>
      <c r="AK45">
        <v>1</v>
      </c>
      <c r="AL45">
        <v>34.6</v>
      </c>
      <c r="AM45" t="s">
        <v>500</v>
      </c>
      <c r="AN45">
        <v>4.3</v>
      </c>
      <c r="AO45" t="s">
        <v>508</v>
      </c>
      <c r="AP45">
        <v>4</v>
      </c>
    </row>
    <row r="46" spans="1:42" x14ac:dyDescent="0.2">
      <c r="A46" t="s">
        <v>163</v>
      </c>
      <c r="B46">
        <v>10154</v>
      </c>
      <c r="C46">
        <v>0</v>
      </c>
      <c r="D46">
        <v>0</v>
      </c>
      <c r="E46">
        <v>1</v>
      </c>
      <c r="F46">
        <v>1</v>
      </c>
      <c r="G46">
        <v>5</v>
      </c>
      <c r="H46">
        <v>3</v>
      </c>
      <c r="I46">
        <v>0</v>
      </c>
      <c r="J46" s="2">
        <v>60380</v>
      </c>
      <c r="K46">
        <v>0</v>
      </c>
      <c r="L46">
        <v>19</v>
      </c>
      <c r="M46" t="s">
        <v>43</v>
      </c>
      <c r="N46" t="s">
        <v>44</v>
      </c>
      <c r="O46">
        <v>1845</v>
      </c>
      <c r="P46" s="1">
        <v>35301</v>
      </c>
      <c r="Q46" t="s">
        <v>45</v>
      </c>
      <c r="R46" t="s">
        <v>46</v>
      </c>
      <c r="S46" t="s">
        <v>47</v>
      </c>
      <c r="T46" t="s">
        <v>48</v>
      </c>
      <c r="U46" t="s">
        <v>49</v>
      </c>
      <c r="V46" s="1">
        <v>44385</v>
      </c>
      <c r="W46" s="1" t="s">
        <v>492</v>
      </c>
      <c r="X46" t="s">
        <v>50</v>
      </c>
      <c r="Y46" t="s">
        <v>51</v>
      </c>
      <c r="Z46" t="s">
        <v>52</v>
      </c>
      <c r="AA46" t="s">
        <v>75</v>
      </c>
      <c r="AC46" t="s">
        <v>54</v>
      </c>
      <c r="AD46" t="s">
        <v>64</v>
      </c>
      <c r="AE46">
        <v>3.8</v>
      </c>
      <c r="AF46">
        <v>5</v>
      </c>
      <c r="AG46">
        <v>0</v>
      </c>
      <c r="AH46" s="1">
        <v>46036</v>
      </c>
      <c r="AI46">
        <v>0</v>
      </c>
      <c r="AJ46">
        <v>4</v>
      </c>
      <c r="AK46">
        <v>1</v>
      </c>
      <c r="AL46">
        <v>30</v>
      </c>
      <c r="AM46" t="s">
        <v>500</v>
      </c>
      <c r="AN46">
        <v>5.0999999999999996</v>
      </c>
      <c r="AO46" t="s">
        <v>521</v>
      </c>
      <c r="AP46">
        <v>5</v>
      </c>
    </row>
    <row r="47" spans="1:42" x14ac:dyDescent="0.2">
      <c r="A47" t="s">
        <v>164</v>
      </c>
      <c r="B47">
        <v>10200</v>
      </c>
      <c r="C47">
        <v>0</v>
      </c>
      <c r="D47">
        <v>0</v>
      </c>
      <c r="E47">
        <v>1</v>
      </c>
      <c r="F47">
        <v>1</v>
      </c>
      <c r="G47">
        <v>6</v>
      </c>
      <c r="H47">
        <v>3</v>
      </c>
      <c r="I47">
        <v>0</v>
      </c>
      <c r="J47" s="2">
        <v>66808</v>
      </c>
      <c r="K47">
        <v>0</v>
      </c>
      <c r="L47">
        <v>3</v>
      </c>
      <c r="M47" t="s">
        <v>145</v>
      </c>
      <c r="N47" t="s">
        <v>102</v>
      </c>
      <c r="O47">
        <v>78207</v>
      </c>
      <c r="P47" s="1">
        <v>30478</v>
      </c>
      <c r="Q47" t="s">
        <v>45</v>
      </c>
      <c r="R47" t="s">
        <v>46</v>
      </c>
      <c r="S47" t="s">
        <v>113</v>
      </c>
      <c r="T47" t="s">
        <v>48</v>
      </c>
      <c r="U47" t="s">
        <v>88</v>
      </c>
      <c r="V47" s="1">
        <v>43965</v>
      </c>
      <c r="W47" s="1" t="s">
        <v>492</v>
      </c>
      <c r="X47" t="s">
        <v>50</v>
      </c>
      <c r="Y47" t="s">
        <v>51</v>
      </c>
      <c r="Z47" t="s">
        <v>5</v>
      </c>
      <c r="AA47" t="s">
        <v>165</v>
      </c>
      <c r="AB47">
        <v>21</v>
      </c>
      <c r="AC47" t="s">
        <v>86</v>
      </c>
      <c r="AD47" t="s">
        <v>64</v>
      </c>
      <c r="AE47">
        <v>3</v>
      </c>
      <c r="AF47">
        <v>5</v>
      </c>
      <c r="AG47">
        <v>0</v>
      </c>
      <c r="AH47" s="1">
        <v>46041</v>
      </c>
      <c r="AI47">
        <v>0</v>
      </c>
      <c r="AJ47">
        <v>17</v>
      </c>
      <c r="AK47">
        <v>1</v>
      </c>
      <c r="AL47">
        <v>43.2</v>
      </c>
      <c r="AM47" t="s">
        <v>501</v>
      </c>
      <c r="AN47">
        <v>6.3</v>
      </c>
      <c r="AO47" t="s">
        <v>521</v>
      </c>
      <c r="AP47">
        <v>5</v>
      </c>
    </row>
    <row r="48" spans="1:42" x14ac:dyDescent="0.2">
      <c r="A48" t="s">
        <v>166</v>
      </c>
      <c r="B48">
        <v>10240</v>
      </c>
      <c r="C48">
        <v>0</v>
      </c>
      <c r="D48">
        <v>0</v>
      </c>
      <c r="E48">
        <v>0</v>
      </c>
      <c r="F48">
        <v>5</v>
      </c>
      <c r="G48">
        <v>5</v>
      </c>
      <c r="H48">
        <v>3</v>
      </c>
      <c r="I48">
        <v>0</v>
      </c>
      <c r="J48" s="2">
        <v>64786</v>
      </c>
      <c r="K48">
        <v>1</v>
      </c>
      <c r="L48">
        <v>19</v>
      </c>
      <c r="M48" t="s">
        <v>43</v>
      </c>
      <c r="N48" t="s">
        <v>44</v>
      </c>
      <c r="O48">
        <v>1775</v>
      </c>
      <c r="P48" s="1">
        <v>35304</v>
      </c>
      <c r="Q48" t="s">
        <v>67</v>
      </c>
      <c r="R48" t="s">
        <v>46</v>
      </c>
      <c r="S48" t="s">
        <v>47</v>
      </c>
      <c r="T48" t="s">
        <v>48</v>
      </c>
      <c r="U48" t="s">
        <v>49</v>
      </c>
      <c r="V48" s="1">
        <v>43643</v>
      </c>
      <c r="W48" s="1">
        <v>45245</v>
      </c>
      <c r="X48" t="s">
        <v>167</v>
      </c>
      <c r="Y48" t="s">
        <v>60</v>
      </c>
      <c r="Z48" t="s">
        <v>52</v>
      </c>
      <c r="AA48" t="s">
        <v>78</v>
      </c>
      <c r="AB48">
        <v>11</v>
      </c>
      <c r="AC48" t="s">
        <v>63</v>
      </c>
      <c r="AD48" t="s">
        <v>64</v>
      </c>
      <c r="AE48">
        <v>4.3</v>
      </c>
      <c r="AF48">
        <v>4</v>
      </c>
      <c r="AG48">
        <v>0</v>
      </c>
      <c r="AH48" s="1">
        <v>44630</v>
      </c>
      <c r="AI48">
        <v>0</v>
      </c>
      <c r="AJ48">
        <v>3</v>
      </c>
      <c r="AK48">
        <v>0</v>
      </c>
      <c r="AL48">
        <v>30</v>
      </c>
      <c r="AM48" t="s">
        <v>500</v>
      </c>
      <c r="AN48">
        <v>7.2</v>
      </c>
      <c r="AO48" t="s">
        <v>521</v>
      </c>
      <c r="AP48">
        <v>5</v>
      </c>
    </row>
    <row r="49" spans="1:42" x14ac:dyDescent="0.2">
      <c r="A49" t="s">
        <v>168</v>
      </c>
      <c r="B49">
        <v>10168</v>
      </c>
      <c r="C49">
        <v>0</v>
      </c>
      <c r="D49">
        <v>0</v>
      </c>
      <c r="E49">
        <v>0</v>
      </c>
      <c r="F49">
        <v>1</v>
      </c>
      <c r="G49">
        <v>5</v>
      </c>
      <c r="H49">
        <v>3</v>
      </c>
      <c r="I49">
        <v>0</v>
      </c>
      <c r="J49" s="2">
        <v>64816</v>
      </c>
      <c r="K49">
        <v>0</v>
      </c>
      <c r="L49">
        <v>19</v>
      </c>
      <c r="M49" t="s">
        <v>43</v>
      </c>
      <c r="N49" t="s">
        <v>44</v>
      </c>
      <c r="O49">
        <v>2044</v>
      </c>
      <c r="P49" s="1">
        <v>37042</v>
      </c>
      <c r="Q49" t="s">
        <v>67</v>
      </c>
      <c r="R49" t="s">
        <v>46</v>
      </c>
      <c r="S49" t="s">
        <v>169</v>
      </c>
      <c r="T49" t="s">
        <v>48</v>
      </c>
      <c r="U49" t="s">
        <v>88</v>
      </c>
      <c r="V49" s="1">
        <v>43741</v>
      </c>
      <c r="W49" s="1" t="s">
        <v>492</v>
      </c>
      <c r="X49" t="s">
        <v>50</v>
      </c>
      <c r="Y49" t="s">
        <v>51</v>
      </c>
      <c r="Z49" t="s">
        <v>52</v>
      </c>
      <c r="AA49" t="s">
        <v>85</v>
      </c>
      <c r="AB49">
        <v>19</v>
      </c>
      <c r="AC49" t="s">
        <v>63</v>
      </c>
      <c r="AD49" t="s">
        <v>64</v>
      </c>
      <c r="AE49">
        <v>3.58</v>
      </c>
      <c r="AF49">
        <v>5</v>
      </c>
      <c r="AG49">
        <v>0</v>
      </c>
      <c r="AH49" s="1">
        <v>46052</v>
      </c>
      <c r="AI49">
        <v>0</v>
      </c>
      <c r="AJ49">
        <v>3</v>
      </c>
      <c r="AK49">
        <v>1</v>
      </c>
      <c r="AL49">
        <v>25.3</v>
      </c>
      <c r="AM49" t="s">
        <v>500</v>
      </c>
      <c r="AN49">
        <v>6.8</v>
      </c>
      <c r="AO49" t="s">
        <v>521</v>
      </c>
      <c r="AP49">
        <v>5</v>
      </c>
    </row>
    <row r="50" spans="1:42" x14ac:dyDescent="0.2">
      <c r="A50" t="s">
        <v>170</v>
      </c>
      <c r="B50">
        <v>10220</v>
      </c>
      <c r="C50">
        <v>0</v>
      </c>
      <c r="D50">
        <v>0</v>
      </c>
      <c r="E50">
        <v>1</v>
      </c>
      <c r="F50">
        <v>1</v>
      </c>
      <c r="G50">
        <v>3</v>
      </c>
      <c r="H50">
        <v>3</v>
      </c>
      <c r="I50">
        <v>0</v>
      </c>
      <c r="J50" s="2">
        <v>68678</v>
      </c>
      <c r="K50">
        <v>0</v>
      </c>
      <c r="L50">
        <v>14</v>
      </c>
      <c r="M50" t="s">
        <v>92</v>
      </c>
      <c r="N50" t="s">
        <v>44</v>
      </c>
      <c r="O50">
        <v>2170</v>
      </c>
      <c r="P50" s="1">
        <v>36043</v>
      </c>
      <c r="Q50" t="s">
        <v>45</v>
      </c>
      <c r="R50" t="s">
        <v>46</v>
      </c>
      <c r="S50" t="s">
        <v>47</v>
      </c>
      <c r="T50" t="s">
        <v>48</v>
      </c>
      <c r="U50" t="s">
        <v>49</v>
      </c>
      <c r="V50" s="1">
        <v>44079</v>
      </c>
      <c r="W50" s="1" t="s">
        <v>492</v>
      </c>
      <c r="X50" t="s">
        <v>50</v>
      </c>
      <c r="Y50" t="s">
        <v>51</v>
      </c>
      <c r="Z50" t="s">
        <v>61</v>
      </c>
      <c r="AA50" t="s">
        <v>171</v>
      </c>
      <c r="AB50">
        <v>6</v>
      </c>
      <c r="AC50" t="s">
        <v>63</v>
      </c>
      <c r="AD50" t="s">
        <v>64</v>
      </c>
      <c r="AE50">
        <v>4.7</v>
      </c>
      <c r="AF50">
        <v>3</v>
      </c>
      <c r="AG50">
        <v>6</v>
      </c>
      <c r="AH50" s="1">
        <v>46080</v>
      </c>
      <c r="AI50">
        <v>0</v>
      </c>
      <c r="AJ50">
        <v>2</v>
      </c>
      <c r="AK50">
        <v>1</v>
      </c>
      <c r="AL50">
        <v>27.8</v>
      </c>
      <c r="AM50" t="s">
        <v>500</v>
      </c>
      <c r="AN50">
        <v>5.8</v>
      </c>
      <c r="AO50" t="s">
        <v>521</v>
      </c>
      <c r="AP50">
        <v>5</v>
      </c>
    </row>
    <row r="51" spans="1:42" x14ac:dyDescent="0.2">
      <c r="A51" t="s">
        <v>172</v>
      </c>
      <c r="B51">
        <v>10275</v>
      </c>
      <c r="C51">
        <v>1</v>
      </c>
      <c r="D51">
        <v>1</v>
      </c>
      <c r="E51">
        <v>0</v>
      </c>
      <c r="F51">
        <v>5</v>
      </c>
      <c r="G51">
        <v>5</v>
      </c>
      <c r="H51">
        <v>3</v>
      </c>
      <c r="I51">
        <v>0</v>
      </c>
      <c r="J51" s="2">
        <v>64066</v>
      </c>
      <c r="K51">
        <v>1</v>
      </c>
      <c r="L51">
        <v>20</v>
      </c>
      <c r="M51" t="s">
        <v>66</v>
      </c>
      <c r="N51" t="s">
        <v>44</v>
      </c>
      <c r="O51">
        <v>1752</v>
      </c>
      <c r="P51" s="1">
        <v>34577</v>
      </c>
      <c r="Q51" t="s">
        <v>67</v>
      </c>
      <c r="R51" t="s">
        <v>58</v>
      </c>
      <c r="S51" t="s">
        <v>47</v>
      </c>
      <c r="T51" t="s">
        <v>48</v>
      </c>
      <c r="U51" t="s">
        <v>49</v>
      </c>
      <c r="V51" s="1">
        <v>43601</v>
      </c>
      <c r="W51" s="1">
        <v>44203</v>
      </c>
      <c r="X51" t="s">
        <v>99</v>
      </c>
      <c r="Y51" t="s">
        <v>60</v>
      </c>
      <c r="Z51" t="s">
        <v>52</v>
      </c>
      <c r="AA51" t="s">
        <v>89</v>
      </c>
      <c r="AB51">
        <v>12</v>
      </c>
      <c r="AC51" t="s">
        <v>76</v>
      </c>
      <c r="AD51" t="s">
        <v>64</v>
      </c>
      <c r="AE51">
        <v>4.2</v>
      </c>
      <c r="AF51">
        <v>5</v>
      </c>
      <c r="AG51">
        <v>0</v>
      </c>
      <c r="AH51" s="1">
        <v>43588</v>
      </c>
      <c r="AI51">
        <v>0</v>
      </c>
      <c r="AJ51">
        <v>9</v>
      </c>
      <c r="AK51">
        <v>0</v>
      </c>
      <c r="AL51">
        <v>32</v>
      </c>
      <c r="AM51" t="s">
        <v>500</v>
      </c>
      <c r="AN51">
        <v>7.3</v>
      </c>
      <c r="AO51" t="s">
        <v>521</v>
      </c>
      <c r="AP51">
        <v>5</v>
      </c>
    </row>
    <row r="52" spans="1:42" x14ac:dyDescent="0.2">
      <c r="A52" t="s">
        <v>173</v>
      </c>
      <c r="B52">
        <v>10269</v>
      </c>
      <c r="C52">
        <v>1</v>
      </c>
      <c r="D52">
        <v>1</v>
      </c>
      <c r="E52">
        <v>1</v>
      </c>
      <c r="F52">
        <v>5</v>
      </c>
      <c r="G52">
        <v>5</v>
      </c>
      <c r="H52">
        <v>3</v>
      </c>
      <c r="I52">
        <v>0</v>
      </c>
      <c r="J52" s="2">
        <v>59369</v>
      </c>
      <c r="K52">
        <v>1</v>
      </c>
      <c r="L52">
        <v>20</v>
      </c>
      <c r="M52" t="s">
        <v>66</v>
      </c>
      <c r="N52" t="s">
        <v>44</v>
      </c>
      <c r="O52">
        <v>2169</v>
      </c>
      <c r="P52" s="1">
        <v>33567</v>
      </c>
      <c r="Q52" t="s">
        <v>45</v>
      </c>
      <c r="R52" t="s">
        <v>58</v>
      </c>
      <c r="S52" t="s">
        <v>47</v>
      </c>
      <c r="T52" t="s">
        <v>48</v>
      </c>
      <c r="U52" t="s">
        <v>49</v>
      </c>
      <c r="V52" s="1">
        <v>43342</v>
      </c>
      <c r="W52" s="1">
        <v>43734</v>
      </c>
      <c r="X52" t="s">
        <v>59</v>
      </c>
      <c r="Y52" t="s">
        <v>60</v>
      </c>
      <c r="Z52" t="s">
        <v>52</v>
      </c>
      <c r="AA52" t="s">
        <v>97</v>
      </c>
      <c r="AB52">
        <v>14</v>
      </c>
      <c r="AC52" t="s">
        <v>63</v>
      </c>
      <c r="AD52" t="s">
        <v>64</v>
      </c>
      <c r="AE52">
        <v>4.2</v>
      </c>
      <c r="AF52">
        <v>4</v>
      </c>
      <c r="AG52">
        <v>0</v>
      </c>
      <c r="AH52" s="1">
        <v>43224</v>
      </c>
      <c r="AI52">
        <v>0</v>
      </c>
      <c r="AJ52">
        <v>6</v>
      </c>
      <c r="AK52">
        <v>0</v>
      </c>
      <c r="AL52">
        <v>34.799999999999997</v>
      </c>
      <c r="AM52" t="s">
        <v>500</v>
      </c>
      <c r="AN52">
        <v>8</v>
      </c>
      <c r="AO52" t="s">
        <v>521</v>
      </c>
      <c r="AP52">
        <v>5</v>
      </c>
    </row>
    <row r="53" spans="1:42" x14ac:dyDescent="0.2">
      <c r="A53" t="s">
        <v>174</v>
      </c>
      <c r="B53">
        <v>10029</v>
      </c>
      <c r="C53">
        <v>1</v>
      </c>
      <c r="D53">
        <v>1</v>
      </c>
      <c r="E53">
        <v>1</v>
      </c>
      <c r="F53">
        <v>2</v>
      </c>
      <c r="G53">
        <v>5</v>
      </c>
      <c r="H53">
        <v>4</v>
      </c>
      <c r="I53">
        <v>0</v>
      </c>
      <c r="J53" s="2">
        <v>50373</v>
      </c>
      <c r="K53">
        <v>0</v>
      </c>
      <c r="L53">
        <v>19</v>
      </c>
      <c r="M53" t="s">
        <v>43</v>
      </c>
      <c r="N53" t="s">
        <v>44</v>
      </c>
      <c r="O53">
        <v>2134</v>
      </c>
      <c r="P53" s="1">
        <v>34207</v>
      </c>
      <c r="Q53" t="s">
        <v>45</v>
      </c>
      <c r="R53" t="s">
        <v>58</v>
      </c>
      <c r="S53" t="s">
        <v>47</v>
      </c>
      <c r="T53" t="s">
        <v>48</v>
      </c>
      <c r="U53" t="s">
        <v>49</v>
      </c>
      <c r="V53" s="1">
        <v>45479</v>
      </c>
      <c r="W53" s="1" t="s">
        <v>492</v>
      </c>
      <c r="X53" t="s">
        <v>50</v>
      </c>
      <c r="Y53" t="s">
        <v>51</v>
      </c>
      <c r="Z53" t="s">
        <v>52</v>
      </c>
      <c r="AA53" t="s">
        <v>89</v>
      </c>
      <c r="AB53">
        <v>12</v>
      </c>
      <c r="AC53" t="s">
        <v>86</v>
      </c>
      <c r="AD53" t="s">
        <v>55</v>
      </c>
      <c r="AE53">
        <v>4.0999999999999996</v>
      </c>
      <c r="AF53">
        <v>4</v>
      </c>
      <c r="AG53">
        <v>0</v>
      </c>
      <c r="AH53" s="1">
        <v>46081</v>
      </c>
      <c r="AI53">
        <v>0</v>
      </c>
      <c r="AJ53">
        <v>5</v>
      </c>
      <c r="AK53">
        <v>1</v>
      </c>
      <c r="AL53">
        <v>33</v>
      </c>
      <c r="AM53" t="s">
        <v>500</v>
      </c>
      <c r="AN53">
        <v>2.1</v>
      </c>
      <c r="AO53" t="s">
        <v>507</v>
      </c>
      <c r="AP53">
        <v>3</v>
      </c>
    </row>
    <row r="54" spans="1:42" x14ac:dyDescent="0.2">
      <c r="A54" t="s">
        <v>175</v>
      </c>
      <c r="B54">
        <v>10261</v>
      </c>
      <c r="C54">
        <v>0</v>
      </c>
      <c r="D54">
        <v>0</v>
      </c>
      <c r="E54">
        <v>1</v>
      </c>
      <c r="F54">
        <v>1</v>
      </c>
      <c r="G54">
        <v>5</v>
      </c>
      <c r="H54">
        <v>3</v>
      </c>
      <c r="I54">
        <v>0</v>
      </c>
      <c r="J54" s="2">
        <v>63108</v>
      </c>
      <c r="K54">
        <v>0</v>
      </c>
      <c r="L54">
        <v>19</v>
      </c>
      <c r="M54" t="s">
        <v>43</v>
      </c>
      <c r="N54" t="s">
        <v>44</v>
      </c>
      <c r="O54">
        <v>2452</v>
      </c>
      <c r="P54" s="1">
        <v>33124</v>
      </c>
      <c r="Q54" t="s">
        <v>45</v>
      </c>
      <c r="R54" t="s">
        <v>46</v>
      </c>
      <c r="S54" t="s">
        <v>47</v>
      </c>
      <c r="T54" t="s">
        <v>48</v>
      </c>
      <c r="U54" t="s">
        <v>49</v>
      </c>
      <c r="V54" s="1">
        <v>44385</v>
      </c>
      <c r="W54" s="1" t="s">
        <v>492</v>
      </c>
      <c r="X54" t="s">
        <v>50</v>
      </c>
      <c r="Y54" t="s">
        <v>51</v>
      </c>
      <c r="Z54" t="s">
        <v>52</v>
      </c>
      <c r="AA54" t="s">
        <v>97</v>
      </c>
      <c r="AB54">
        <v>14</v>
      </c>
      <c r="AC54" t="s">
        <v>86</v>
      </c>
      <c r="AD54" t="s">
        <v>64</v>
      </c>
      <c r="AE54">
        <v>4.4000000000000004</v>
      </c>
      <c r="AF54">
        <v>5</v>
      </c>
      <c r="AG54">
        <v>0</v>
      </c>
      <c r="AH54" s="1">
        <v>46036</v>
      </c>
      <c r="AI54">
        <v>0</v>
      </c>
      <c r="AJ54">
        <v>3</v>
      </c>
      <c r="AK54">
        <v>1</v>
      </c>
      <c r="AL54">
        <v>35.799999999999997</v>
      </c>
      <c r="AM54" t="s">
        <v>501</v>
      </c>
      <c r="AN54">
        <v>5.0999999999999996</v>
      </c>
      <c r="AO54" t="s">
        <v>521</v>
      </c>
      <c r="AP54">
        <v>5</v>
      </c>
    </row>
    <row r="55" spans="1:42" x14ac:dyDescent="0.2">
      <c r="A55" t="s">
        <v>176</v>
      </c>
      <c r="B55">
        <v>10292</v>
      </c>
      <c r="C55">
        <v>0</v>
      </c>
      <c r="D55">
        <v>0</v>
      </c>
      <c r="E55">
        <v>1</v>
      </c>
      <c r="F55">
        <v>4</v>
      </c>
      <c r="G55">
        <v>5</v>
      </c>
      <c r="H55">
        <v>2</v>
      </c>
      <c r="I55">
        <v>0</v>
      </c>
      <c r="J55" s="2">
        <v>59144</v>
      </c>
      <c r="K55">
        <v>1</v>
      </c>
      <c r="L55">
        <v>19</v>
      </c>
      <c r="M55" t="s">
        <v>43</v>
      </c>
      <c r="N55" t="s">
        <v>44</v>
      </c>
      <c r="O55">
        <v>1880</v>
      </c>
      <c r="P55" s="1">
        <v>33828</v>
      </c>
      <c r="Q55" t="s">
        <v>45</v>
      </c>
      <c r="R55" t="s">
        <v>46</v>
      </c>
      <c r="S55" t="s">
        <v>47</v>
      </c>
      <c r="T55" t="s">
        <v>48</v>
      </c>
      <c r="U55" t="s">
        <v>88</v>
      </c>
      <c r="V55" s="1">
        <v>43657</v>
      </c>
      <c r="W55" s="1">
        <v>45558</v>
      </c>
      <c r="X55" t="s">
        <v>116</v>
      </c>
      <c r="Y55" t="s">
        <v>110</v>
      </c>
      <c r="Z55" t="s">
        <v>52</v>
      </c>
      <c r="AA55" t="s">
        <v>69</v>
      </c>
      <c r="AB55">
        <v>20</v>
      </c>
      <c r="AC55" t="s">
        <v>54</v>
      </c>
      <c r="AD55" t="s">
        <v>124</v>
      </c>
      <c r="AE55">
        <v>2</v>
      </c>
      <c r="AF55">
        <v>3</v>
      </c>
      <c r="AG55">
        <v>0</v>
      </c>
      <c r="AH55" s="1">
        <v>45047</v>
      </c>
      <c r="AI55">
        <v>5</v>
      </c>
      <c r="AJ55">
        <v>16</v>
      </c>
      <c r="AK55">
        <v>0</v>
      </c>
      <c r="AL55">
        <v>34</v>
      </c>
      <c r="AM55" t="s">
        <v>500</v>
      </c>
      <c r="AN55">
        <v>7.1</v>
      </c>
      <c r="AO55" t="s">
        <v>521</v>
      </c>
      <c r="AP55">
        <v>5</v>
      </c>
    </row>
    <row r="56" spans="1:42" x14ac:dyDescent="0.2">
      <c r="A56" t="s">
        <v>177</v>
      </c>
      <c r="B56">
        <v>10282</v>
      </c>
      <c r="C56">
        <v>0</v>
      </c>
      <c r="D56">
        <v>2</v>
      </c>
      <c r="E56">
        <v>1</v>
      </c>
      <c r="F56">
        <v>1</v>
      </c>
      <c r="G56">
        <v>5</v>
      </c>
      <c r="H56">
        <v>2</v>
      </c>
      <c r="I56">
        <v>0</v>
      </c>
      <c r="J56" s="2">
        <v>68051</v>
      </c>
      <c r="K56">
        <v>0</v>
      </c>
      <c r="L56">
        <v>18</v>
      </c>
      <c r="M56" t="s">
        <v>135</v>
      </c>
      <c r="N56" t="s">
        <v>44</v>
      </c>
      <c r="O56">
        <v>1803</v>
      </c>
      <c r="P56" s="1">
        <v>32494</v>
      </c>
      <c r="Q56" t="s">
        <v>45</v>
      </c>
      <c r="R56" t="s">
        <v>73</v>
      </c>
      <c r="S56" t="s">
        <v>47</v>
      </c>
      <c r="T56" t="s">
        <v>48</v>
      </c>
      <c r="U56" t="s">
        <v>49</v>
      </c>
      <c r="V56" s="1">
        <v>43301</v>
      </c>
      <c r="W56" s="1" t="s">
        <v>492</v>
      </c>
      <c r="X56" t="s">
        <v>50</v>
      </c>
      <c r="Y56" t="s">
        <v>51</v>
      </c>
      <c r="Z56" t="s">
        <v>52</v>
      </c>
      <c r="AA56" t="s">
        <v>137</v>
      </c>
      <c r="AB56">
        <v>2</v>
      </c>
      <c r="AC56" t="s">
        <v>123</v>
      </c>
      <c r="AD56" t="s">
        <v>124</v>
      </c>
      <c r="AE56">
        <v>4.13</v>
      </c>
      <c r="AF56">
        <v>2</v>
      </c>
      <c r="AG56">
        <v>0</v>
      </c>
      <c r="AH56" s="1">
        <v>46036</v>
      </c>
      <c r="AI56">
        <v>3</v>
      </c>
      <c r="AJ56">
        <v>3</v>
      </c>
      <c r="AK56">
        <v>1</v>
      </c>
      <c r="AL56">
        <v>37.799999999999997</v>
      </c>
      <c r="AM56" t="s">
        <v>501</v>
      </c>
      <c r="AN56">
        <v>8.1</v>
      </c>
      <c r="AO56" t="s">
        <v>521</v>
      </c>
      <c r="AP56">
        <v>5</v>
      </c>
    </row>
    <row r="57" spans="1:42" x14ac:dyDescent="0.2">
      <c r="A57" t="s">
        <v>178</v>
      </c>
      <c r="B57">
        <v>10019</v>
      </c>
      <c r="C57">
        <v>0</v>
      </c>
      <c r="D57">
        <v>0</v>
      </c>
      <c r="E57">
        <v>1</v>
      </c>
      <c r="F57">
        <v>1</v>
      </c>
      <c r="G57">
        <v>5</v>
      </c>
      <c r="H57">
        <v>4</v>
      </c>
      <c r="I57">
        <v>0</v>
      </c>
      <c r="J57" s="2">
        <v>170500</v>
      </c>
      <c r="K57">
        <v>0</v>
      </c>
      <c r="L57">
        <v>10</v>
      </c>
      <c r="M57" t="s">
        <v>179</v>
      </c>
      <c r="N57" t="s">
        <v>44</v>
      </c>
      <c r="O57">
        <v>2030</v>
      </c>
      <c r="P57" s="1">
        <v>35143</v>
      </c>
      <c r="Q57" t="s">
        <v>45</v>
      </c>
      <c r="R57" t="s">
        <v>46</v>
      </c>
      <c r="S57" t="s">
        <v>47</v>
      </c>
      <c r="T57" t="s">
        <v>48</v>
      </c>
      <c r="U57" t="s">
        <v>88</v>
      </c>
      <c r="V57" s="1">
        <v>42740</v>
      </c>
      <c r="W57" s="1" t="s">
        <v>492</v>
      </c>
      <c r="X57" t="s">
        <v>50</v>
      </c>
      <c r="Y57" t="s">
        <v>51</v>
      </c>
      <c r="Z57" t="s">
        <v>52</v>
      </c>
      <c r="AA57" t="s">
        <v>137</v>
      </c>
      <c r="AB57">
        <v>2</v>
      </c>
      <c r="AC57" t="s">
        <v>63</v>
      </c>
      <c r="AD57" t="s">
        <v>55</v>
      </c>
      <c r="AE57">
        <v>3.7</v>
      </c>
      <c r="AF57">
        <v>5</v>
      </c>
      <c r="AG57">
        <v>0</v>
      </c>
      <c r="AH57" s="1">
        <v>46057</v>
      </c>
      <c r="AI57">
        <v>0</v>
      </c>
      <c r="AJ57">
        <v>15</v>
      </c>
      <c r="AK57">
        <v>1</v>
      </c>
      <c r="AL57">
        <v>30.5</v>
      </c>
      <c r="AM57" t="s">
        <v>500</v>
      </c>
      <c r="AN57">
        <v>9.6999999999999993</v>
      </c>
      <c r="AO57" t="s">
        <v>521</v>
      </c>
      <c r="AP57">
        <v>5</v>
      </c>
    </row>
    <row r="58" spans="1:42" x14ac:dyDescent="0.2">
      <c r="A58" t="s">
        <v>180</v>
      </c>
      <c r="B58">
        <v>10094</v>
      </c>
      <c r="C58">
        <v>1</v>
      </c>
      <c r="D58">
        <v>1</v>
      </c>
      <c r="E58">
        <v>0</v>
      </c>
      <c r="F58">
        <v>1</v>
      </c>
      <c r="G58">
        <v>5</v>
      </c>
      <c r="H58">
        <v>3</v>
      </c>
      <c r="I58">
        <v>0</v>
      </c>
      <c r="J58" s="2">
        <v>63381</v>
      </c>
      <c r="K58">
        <v>0</v>
      </c>
      <c r="L58">
        <v>19</v>
      </c>
      <c r="M58" t="s">
        <v>43</v>
      </c>
      <c r="N58" t="s">
        <v>44</v>
      </c>
      <c r="O58">
        <v>2189</v>
      </c>
      <c r="P58" s="1">
        <v>32963</v>
      </c>
      <c r="Q58" t="s">
        <v>67</v>
      </c>
      <c r="R58" t="s">
        <v>58</v>
      </c>
      <c r="S58" t="s">
        <v>47</v>
      </c>
      <c r="T58" t="s">
        <v>95</v>
      </c>
      <c r="U58" t="s">
        <v>49</v>
      </c>
      <c r="V58" s="1">
        <v>44931</v>
      </c>
      <c r="W58" s="1" t="s">
        <v>492</v>
      </c>
      <c r="X58" t="s">
        <v>50</v>
      </c>
      <c r="Y58" t="s">
        <v>51</v>
      </c>
      <c r="Z58" t="s">
        <v>52</v>
      </c>
      <c r="AA58" t="s">
        <v>105</v>
      </c>
      <c r="AB58">
        <v>18</v>
      </c>
      <c r="AC58" t="s">
        <v>63</v>
      </c>
      <c r="AD58" t="s">
        <v>64</v>
      </c>
      <c r="AE58">
        <v>4.7300000000000004</v>
      </c>
      <c r="AF58">
        <v>5</v>
      </c>
      <c r="AG58">
        <v>0</v>
      </c>
      <c r="AH58" s="1">
        <v>46067</v>
      </c>
      <c r="AI58">
        <v>0</v>
      </c>
      <c r="AJ58">
        <v>6</v>
      </c>
      <c r="AK58">
        <v>1</v>
      </c>
      <c r="AL58">
        <v>36.5</v>
      </c>
      <c r="AM58" t="s">
        <v>501</v>
      </c>
      <c r="AN58">
        <v>3.7</v>
      </c>
      <c r="AO58" t="s">
        <v>508</v>
      </c>
      <c r="AP58">
        <v>4</v>
      </c>
    </row>
    <row r="59" spans="1:42" x14ac:dyDescent="0.2">
      <c r="A59" t="s">
        <v>181</v>
      </c>
      <c r="B59">
        <v>10193</v>
      </c>
      <c r="C59">
        <v>1</v>
      </c>
      <c r="D59">
        <v>1</v>
      </c>
      <c r="E59">
        <v>1</v>
      </c>
      <c r="F59">
        <v>1</v>
      </c>
      <c r="G59">
        <v>3</v>
      </c>
      <c r="H59">
        <v>3</v>
      </c>
      <c r="I59">
        <v>0</v>
      </c>
      <c r="J59" s="2">
        <v>83552</v>
      </c>
      <c r="K59">
        <v>0</v>
      </c>
      <c r="L59">
        <v>9</v>
      </c>
      <c r="M59" t="s">
        <v>101</v>
      </c>
      <c r="N59" t="s">
        <v>44</v>
      </c>
      <c r="O59">
        <v>1810</v>
      </c>
      <c r="P59" s="1">
        <v>36398</v>
      </c>
      <c r="Q59" t="s">
        <v>45</v>
      </c>
      <c r="R59" t="s">
        <v>58</v>
      </c>
      <c r="S59" t="s">
        <v>47</v>
      </c>
      <c r="T59" t="s">
        <v>48</v>
      </c>
      <c r="U59" t="s">
        <v>49</v>
      </c>
      <c r="V59" s="1">
        <v>45015</v>
      </c>
      <c r="W59" s="1" t="s">
        <v>492</v>
      </c>
      <c r="X59" t="s">
        <v>50</v>
      </c>
      <c r="Y59" t="s">
        <v>51</v>
      </c>
      <c r="Z59" t="s">
        <v>61</v>
      </c>
      <c r="AA59" t="s">
        <v>62</v>
      </c>
      <c r="AB59">
        <v>4</v>
      </c>
      <c r="AC59" t="s">
        <v>63</v>
      </c>
      <c r="AD59" t="s">
        <v>64</v>
      </c>
      <c r="AE59">
        <v>3.04</v>
      </c>
      <c r="AF59">
        <v>3</v>
      </c>
      <c r="AG59">
        <v>6</v>
      </c>
      <c r="AH59" s="1">
        <v>46044</v>
      </c>
      <c r="AI59">
        <v>0</v>
      </c>
      <c r="AJ59">
        <v>2</v>
      </c>
      <c r="AK59">
        <v>1</v>
      </c>
      <c r="AL59">
        <v>27</v>
      </c>
      <c r="AM59" t="s">
        <v>500</v>
      </c>
      <c r="AN59">
        <v>3.5</v>
      </c>
      <c r="AO59" t="s">
        <v>508</v>
      </c>
      <c r="AP59">
        <v>4</v>
      </c>
    </row>
    <row r="60" spans="1:42" x14ac:dyDescent="0.2">
      <c r="A60" t="s">
        <v>182</v>
      </c>
      <c r="B60">
        <v>10132</v>
      </c>
      <c r="C60">
        <v>0</v>
      </c>
      <c r="D60">
        <v>0</v>
      </c>
      <c r="E60">
        <v>0</v>
      </c>
      <c r="F60">
        <v>2</v>
      </c>
      <c r="G60">
        <v>5</v>
      </c>
      <c r="H60">
        <v>3</v>
      </c>
      <c r="I60">
        <v>0</v>
      </c>
      <c r="J60" s="2">
        <v>56149</v>
      </c>
      <c r="K60">
        <v>0</v>
      </c>
      <c r="L60">
        <v>19</v>
      </c>
      <c r="M60" t="s">
        <v>43</v>
      </c>
      <c r="N60" t="s">
        <v>44</v>
      </c>
      <c r="O60">
        <v>1821</v>
      </c>
      <c r="P60" s="1">
        <v>36626</v>
      </c>
      <c r="Q60" t="s">
        <v>67</v>
      </c>
      <c r="R60" t="s">
        <v>46</v>
      </c>
      <c r="S60" t="s">
        <v>47</v>
      </c>
      <c r="T60" t="s">
        <v>48</v>
      </c>
      <c r="U60" t="s">
        <v>49</v>
      </c>
      <c r="V60" s="1">
        <v>45479</v>
      </c>
      <c r="W60" s="1" t="s">
        <v>492</v>
      </c>
      <c r="X60" t="s">
        <v>50</v>
      </c>
      <c r="Y60" t="s">
        <v>51</v>
      </c>
      <c r="Z60" t="s">
        <v>52</v>
      </c>
      <c r="AA60" t="s">
        <v>53</v>
      </c>
      <c r="AB60">
        <v>22</v>
      </c>
      <c r="AC60" t="s">
        <v>54</v>
      </c>
      <c r="AD60" t="s">
        <v>64</v>
      </c>
      <c r="AE60">
        <v>4.12</v>
      </c>
      <c r="AF60">
        <v>5</v>
      </c>
      <c r="AG60">
        <v>0</v>
      </c>
      <c r="AH60" s="1">
        <v>46050</v>
      </c>
      <c r="AI60">
        <v>0</v>
      </c>
      <c r="AJ60">
        <v>15</v>
      </c>
      <c r="AK60">
        <v>1</v>
      </c>
      <c r="AL60">
        <v>26.4</v>
      </c>
      <c r="AM60" t="s">
        <v>500</v>
      </c>
      <c r="AN60">
        <v>2.1</v>
      </c>
      <c r="AO60" t="s">
        <v>507</v>
      </c>
      <c r="AP60">
        <v>3</v>
      </c>
    </row>
    <row r="61" spans="1:42" x14ac:dyDescent="0.2">
      <c r="A61" t="s">
        <v>183</v>
      </c>
      <c r="B61">
        <v>10083</v>
      </c>
      <c r="C61">
        <v>0</v>
      </c>
      <c r="D61">
        <v>0</v>
      </c>
      <c r="E61">
        <v>1</v>
      </c>
      <c r="F61">
        <v>1</v>
      </c>
      <c r="G61">
        <v>3</v>
      </c>
      <c r="H61">
        <v>3</v>
      </c>
      <c r="I61">
        <v>0</v>
      </c>
      <c r="J61" s="2">
        <v>92329</v>
      </c>
      <c r="K61">
        <v>0</v>
      </c>
      <c r="L61">
        <v>28</v>
      </c>
      <c r="M61" t="s">
        <v>184</v>
      </c>
      <c r="N61" t="s">
        <v>128</v>
      </c>
      <c r="O61">
        <v>6278</v>
      </c>
      <c r="P61" s="1">
        <v>28742</v>
      </c>
      <c r="Q61" t="s">
        <v>45</v>
      </c>
      <c r="R61" t="s">
        <v>46</v>
      </c>
      <c r="S61" t="s">
        <v>47</v>
      </c>
      <c r="T61" t="s">
        <v>48</v>
      </c>
      <c r="U61" t="s">
        <v>49</v>
      </c>
      <c r="V61" s="1">
        <v>44875</v>
      </c>
      <c r="W61" s="1" t="s">
        <v>492</v>
      </c>
      <c r="X61" t="s">
        <v>50</v>
      </c>
      <c r="Y61" t="s">
        <v>51</v>
      </c>
      <c r="Z61" t="s">
        <v>61</v>
      </c>
      <c r="AA61" t="s">
        <v>93</v>
      </c>
      <c r="AB61">
        <v>7</v>
      </c>
      <c r="AC61" t="s">
        <v>86</v>
      </c>
      <c r="AD61" t="s">
        <v>64</v>
      </c>
      <c r="AE61">
        <v>5</v>
      </c>
      <c r="AF61">
        <v>3</v>
      </c>
      <c r="AG61">
        <v>4</v>
      </c>
      <c r="AH61" s="1">
        <v>46024</v>
      </c>
      <c r="AI61">
        <v>0</v>
      </c>
      <c r="AJ61">
        <v>5</v>
      </c>
      <c r="AK61">
        <v>1</v>
      </c>
      <c r="AL61">
        <v>47.8</v>
      </c>
      <c r="AM61" t="s">
        <v>502</v>
      </c>
      <c r="AN61">
        <v>3.8</v>
      </c>
      <c r="AO61" t="s">
        <v>508</v>
      </c>
      <c r="AP61">
        <v>4</v>
      </c>
    </row>
    <row r="62" spans="1:42" x14ac:dyDescent="0.2">
      <c r="A62" t="s">
        <v>185</v>
      </c>
      <c r="B62">
        <v>10099</v>
      </c>
      <c r="C62">
        <v>0</v>
      </c>
      <c r="D62">
        <v>0</v>
      </c>
      <c r="E62">
        <v>0</v>
      </c>
      <c r="F62">
        <v>1</v>
      </c>
      <c r="G62">
        <v>6</v>
      </c>
      <c r="H62">
        <v>3</v>
      </c>
      <c r="I62">
        <v>0</v>
      </c>
      <c r="J62" s="2">
        <v>65729</v>
      </c>
      <c r="K62">
        <v>0</v>
      </c>
      <c r="L62">
        <v>21</v>
      </c>
      <c r="M62" t="s">
        <v>186</v>
      </c>
      <c r="N62" t="s">
        <v>158</v>
      </c>
      <c r="O62">
        <v>5473</v>
      </c>
      <c r="P62" s="1">
        <v>37730</v>
      </c>
      <c r="Q62" t="s">
        <v>67</v>
      </c>
      <c r="R62" t="s">
        <v>46</v>
      </c>
      <c r="S62" t="s">
        <v>47</v>
      </c>
      <c r="T62" t="s">
        <v>48</v>
      </c>
      <c r="U62" t="s">
        <v>49</v>
      </c>
      <c r="V62" s="1">
        <v>44686</v>
      </c>
      <c r="W62" s="1" t="s">
        <v>492</v>
      </c>
      <c r="X62" t="s">
        <v>50</v>
      </c>
      <c r="Y62" t="s">
        <v>51</v>
      </c>
      <c r="Z62" t="s">
        <v>5</v>
      </c>
      <c r="AA62" t="s">
        <v>187</v>
      </c>
      <c r="AB62">
        <v>15</v>
      </c>
      <c r="AC62" t="s">
        <v>63</v>
      </c>
      <c r="AD62" t="s">
        <v>64</v>
      </c>
      <c r="AE62">
        <v>4.62</v>
      </c>
      <c r="AF62">
        <v>4</v>
      </c>
      <c r="AG62">
        <v>0</v>
      </c>
      <c r="AH62" s="1">
        <v>46046</v>
      </c>
      <c r="AI62">
        <v>0</v>
      </c>
      <c r="AJ62">
        <v>8</v>
      </c>
      <c r="AK62">
        <v>1</v>
      </c>
      <c r="AL62">
        <v>23.4</v>
      </c>
      <c r="AM62" t="s">
        <v>499</v>
      </c>
      <c r="AN62">
        <v>4.3</v>
      </c>
      <c r="AO62" t="s">
        <v>508</v>
      </c>
      <c r="AP62">
        <v>4</v>
      </c>
    </row>
    <row r="63" spans="1:42" x14ac:dyDescent="0.2">
      <c r="A63" t="s">
        <v>188</v>
      </c>
      <c r="B63">
        <v>10212</v>
      </c>
      <c r="C63">
        <v>1</v>
      </c>
      <c r="D63">
        <v>1</v>
      </c>
      <c r="E63">
        <v>0</v>
      </c>
      <c r="F63">
        <v>3</v>
      </c>
      <c r="G63">
        <v>3</v>
      </c>
      <c r="H63">
        <v>3</v>
      </c>
      <c r="I63">
        <v>0</v>
      </c>
      <c r="J63" s="2">
        <v>85028</v>
      </c>
      <c r="K63">
        <v>0</v>
      </c>
      <c r="L63">
        <v>28</v>
      </c>
      <c r="M63" t="s">
        <v>184</v>
      </c>
      <c r="N63" t="s">
        <v>128</v>
      </c>
      <c r="O63">
        <v>6033</v>
      </c>
      <c r="P63" s="1">
        <v>23760</v>
      </c>
      <c r="Q63" t="s">
        <v>67</v>
      </c>
      <c r="R63" t="s">
        <v>58</v>
      </c>
      <c r="S63" t="s">
        <v>47</v>
      </c>
      <c r="T63" t="s">
        <v>48</v>
      </c>
      <c r="U63" t="s">
        <v>49</v>
      </c>
      <c r="V63" s="1">
        <v>44875</v>
      </c>
      <c r="W63" s="1" t="s">
        <v>492</v>
      </c>
      <c r="X63" t="s">
        <v>50</v>
      </c>
      <c r="Y63" t="s">
        <v>51</v>
      </c>
      <c r="Z63" t="s">
        <v>61</v>
      </c>
      <c r="AA63" t="s">
        <v>93</v>
      </c>
      <c r="AB63">
        <v>7</v>
      </c>
      <c r="AC63" t="s">
        <v>54</v>
      </c>
      <c r="AD63" t="s">
        <v>64</v>
      </c>
      <c r="AE63">
        <v>3.1</v>
      </c>
      <c r="AF63">
        <v>5</v>
      </c>
      <c r="AG63">
        <v>8</v>
      </c>
      <c r="AH63" s="1">
        <v>46065</v>
      </c>
      <c r="AI63">
        <v>0</v>
      </c>
      <c r="AJ63">
        <v>19</v>
      </c>
      <c r="AK63">
        <v>1</v>
      </c>
      <c r="AL63">
        <v>61.7</v>
      </c>
      <c r="AM63" t="s">
        <v>518</v>
      </c>
      <c r="AN63">
        <v>3.8</v>
      </c>
      <c r="AO63" t="s">
        <v>508</v>
      </c>
      <c r="AP63">
        <v>4</v>
      </c>
    </row>
    <row r="64" spans="1:42" x14ac:dyDescent="0.2">
      <c r="A64" t="s">
        <v>189</v>
      </c>
      <c r="B64">
        <v>10056</v>
      </c>
      <c r="C64">
        <v>1</v>
      </c>
      <c r="D64">
        <v>1</v>
      </c>
      <c r="E64">
        <v>0</v>
      </c>
      <c r="F64">
        <v>1</v>
      </c>
      <c r="G64">
        <v>5</v>
      </c>
      <c r="H64">
        <v>3</v>
      </c>
      <c r="I64">
        <v>0</v>
      </c>
      <c r="J64" s="2">
        <v>57583</v>
      </c>
      <c r="K64">
        <v>0</v>
      </c>
      <c r="L64">
        <v>19</v>
      </c>
      <c r="M64" t="s">
        <v>43</v>
      </c>
      <c r="N64" t="s">
        <v>44</v>
      </c>
      <c r="O64">
        <v>2110</v>
      </c>
      <c r="P64" s="1">
        <v>33547</v>
      </c>
      <c r="Q64" t="s">
        <v>67</v>
      </c>
      <c r="R64" t="s">
        <v>58</v>
      </c>
      <c r="S64" t="s">
        <v>47</v>
      </c>
      <c r="T64" t="s">
        <v>48</v>
      </c>
      <c r="U64" t="s">
        <v>49</v>
      </c>
      <c r="V64" s="1">
        <v>44014</v>
      </c>
      <c r="W64" s="1" t="s">
        <v>492</v>
      </c>
      <c r="X64" t="s">
        <v>50</v>
      </c>
      <c r="Y64" t="s">
        <v>51</v>
      </c>
      <c r="Z64" t="s">
        <v>52</v>
      </c>
      <c r="AA64" t="s">
        <v>71</v>
      </c>
      <c r="AB64">
        <v>16</v>
      </c>
      <c r="AC64" t="s">
        <v>63</v>
      </c>
      <c r="AD64" t="s">
        <v>64</v>
      </c>
      <c r="AE64">
        <v>5</v>
      </c>
      <c r="AF64">
        <v>3</v>
      </c>
      <c r="AG64">
        <v>0</v>
      </c>
      <c r="AH64" s="1">
        <v>46078</v>
      </c>
      <c r="AI64">
        <v>0</v>
      </c>
      <c r="AJ64">
        <v>1</v>
      </c>
      <c r="AK64">
        <v>1</v>
      </c>
      <c r="AL64">
        <v>34.799999999999997</v>
      </c>
      <c r="AM64" t="s">
        <v>500</v>
      </c>
      <c r="AN64">
        <v>6.1</v>
      </c>
      <c r="AO64" t="s">
        <v>521</v>
      </c>
      <c r="AP64">
        <v>5</v>
      </c>
    </row>
    <row r="65" spans="1:42" x14ac:dyDescent="0.2">
      <c r="A65" t="s">
        <v>190</v>
      </c>
      <c r="B65">
        <v>10143</v>
      </c>
      <c r="C65">
        <v>0</v>
      </c>
      <c r="D65">
        <v>0</v>
      </c>
      <c r="E65">
        <v>1</v>
      </c>
      <c r="F65">
        <v>1</v>
      </c>
      <c r="G65">
        <v>5</v>
      </c>
      <c r="H65">
        <v>3</v>
      </c>
      <c r="I65">
        <v>0</v>
      </c>
      <c r="J65" s="2">
        <v>56294</v>
      </c>
      <c r="K65">
        <v>0</v>
      </c>
      <c r="L65">
        <v>20</v>
      </c>
      <c r="M65" t="s">
        <v>66</v>
      </c>
      <c r="N65" t="s">
        <v>44</v>
      </c>
      <c r="O65">
        <v>2458</v>
      </c>
      <c r="P65" s="1">
        <v>33861</v>
      </c>
      <c r="Q65" t="s">
        <v>45</v>
      </c>
      <c r="R65" t="s">
        <v>46</v>
      </c>
      <c r="S65" t="s">
        <v>113</v>
      </c>
      <c r="T65" t="s">
        <v>48</v>
      </c>
      <c r="U65" t="s">
        <v>104</v>
      </c>
      <c r="V65" s="1">
        <v>43776</v>
      </c>
      <c r="W65" s="1" t="s">
        <v>492</v>
      </c>
      <c r="X65" t="s">
        <v>50</v>
      </c>
      <c r="Y65" t="s">
        <v>51</v>
      </c>
      <c r="Z65" t="s">
        <v>52</v>
      </c>
      <c r="AA65" t="s">
        <v>69</v>
      </c>
      <c r="AB65">
        <v>20</v>
      </c>
      <c r="AC65" t="s">
        <v>54</v>
      </c>
      <c r="AD65" t="s">
        <v>64</v>
      </c>
      <c r="AE65">
        <v>3.96</v>
      </c>
      <c r="AF65">
        <v>4</v>
      </c>
      <c r="AG65">
        <v>0</v>
      </c>
      <c r="AH65" s="1">
        <v>46080</v>
      </c>
      <c r="AI65">
        <v>0</v>
      </c>
      <c r="AJ65">
        <v>6</v>
      </c>
      <c r="AK65">
        <v>1</v>
      </c>
      <c r="AL65">
        <v>33.799999999999997</v>
      </c>
      <c r="AM65" t="s">
        <v>500</v>
      </c>
      <c r="AN65">
        <v>6.8</v>
      </c>
      <c r="AO65" t="s">
        <v>521</v>
      </c>
      <c r="AP65">
        <v>5</v>
      </c>
    </row>
    <row r="66" spans="1:42" x14ac:dyDescent="0.2">
      <c r="A66" t="s">
        <v>191</v>
      </c>
      <c r="B66">
        <v>10311</v>
      </c>
      <c r="C66">
        <v>1</v>
      </c>
      <c r="D66">
        <v>1</v>
      </c>
      <c r="E66">
        <v>1</v>
      </c>
      <c r="F66">
        <v>1</v>
      </c>
      <c r="G66">
        <v>6</v>
      </c>
      <c r="H66">
        <v>1</v>
      </c>
      <c r="I66">
        <v>0</v>
      </c>
      <c r="J66" s="2">
        <v>56991</v>
      </c>
      <c r="K66">
        <v>0</v>
      </c>
      <c r="L66">
        <v>19</v>
      </c>
      <c r="M66" t="s">
        <v>43</v>
      </c>
      <c r="N66" t="s">
        <v>44</v>
      </c>
      <c r="O66">
        <v>2138</v>
      </c>
      <c r="P66" s="1">
        <v>36996</v>
      </c>
      <c r="Q66" t="s">
        <v>45</v>
      </c>
      <c r="R66" t="s">
        <v>58</v>
      </c>
      <c r="S66" t="s">
        <v>47</v>
      </c>
      <c r="T66" t="s">
        <v>48</v>
      </c>
      <c r="U66" t="s">
        <v>49</v>
      </c>
      <c r="V66" s="1">
        <v>46212</v>
      </c>
      <c r="W66" s="1" t="s">
        <v>492</v>
      </c>
      <c r="X66" t="s">
        <v>50</v>
      </c>
      <c r="Y66" t="s">
        <v>51</v>
      </c>
      <c r="Z66" t="s">
        <v>52</v>
      </c>
      <c r="AA66" t="s">
        <v>89</v>
      </c>
      <c r="AB66">
        <v>12</v>
      </c>
      <c r="AC66" t="s">
        <v>63</v>
      </c>
      <c r="AD66" t="s">
        <v>64</v>
      </c>
      <c r="AE66">
        <v>4.3</v>
      </c>
      <c r="AF66">
        <v>4</v>
      </c>
      <c r="AG66">
        <v>3</v>
      </c>
      <c r="AH66" s="1">
        <v>46053</v>
      </c>
      <c r="AI66">
        <v>2</v>
      </c>
      <c r="AJ66">
        <v>2</v>
      </c>
      <c r="AK66">
        <v>1</v>
      </c>
      <c r="AL66">
        <v>25.4</v>
      </c>
      <c r="AM66" t="s">
        <v>500</v>
      </c>
      <c r="AN66">
        <v>0.1</v>
      </c>
      <c r="AO66" t="s">
        <v>505</v>
      </c>
      <c r="AP66">
        <v>1</v>
      </c>
    </row>
    <row r="67" spans="1:42" x14ac:dyDescent="0.2">
      <c r="A67" t="s">
        <v>192</v>
      </c>
      <c r="B67">
        <v>10070</v>
      </c>
      <c r="C67">
        <v>1</v>
      </c>
      <c r="D67">
        <v>1</v>
      </c>
      <c r="E67">
        <v>1</v>
      </c>
      <c r="F67">
        <v>5</v>
      </c>
      <c r="G67">
        <v>5</v>
      </c>
      <c r="H67">
        <v>3</v>
      </c>
      <c r="I67">
        <v>0</v>
      </c>
      <c r="J67" s="2">
        <v>55722</v>
      </c>
      <c r="K67">
        <v>1</v>
      </c>
      <c r="L67">
        <v>19</v>
      </c>
      <c r="M67" t="s">
        <v>43</v>
      </c>
      <c r="N67" t="s">
        <v>44</v>
      </c>
      <c r="O67">
        <v>1810</v>
      </c>
      <c r="P67" s="1">
        <v>33177</v>
      </c>
      <c r="Q67" t="s">
        <v>45</v>
      </c>
      <c r="R67" t="s">
        <v>58</v>
      </c>
      <c r="S67" t="s">
        <v>47</v>
      </c>
      <c r="T67" t="s">
        <v>48</v>
      </c>
      <c r="U67" t="s">
        <v>49</v>
      </c>
      <c r="V67" s="1">
        <v>43601</v>
      </c>
      <c r="W67" s="1">
        <v>45451</v>
      </c>
      <c r="X67" t="s">
        <v>99</v>
      </c>
      <c r="Y67" t="s">
        <v>60</v>
      </c>
      <c r="Z67" t="s">
        <v>52</v>
      </c>
      <c r="AA67" t="s">
        <v>75</v>
      </c>
      <c r="AB67">
        <v>39</v>
      </c>
      <c r="AC67" t="s">
        <v>63</v>
      </c>
      <c r="AD67" t="s">
        <v>64</v>
      </c>
      <c r="AE67">
        <v>5</v>
      </c>
      <c r="AF67">
        <v>4</v>
      </c>
      <c r="AG67">
        <v>0</v>
      </c>
      <c r="AH67" s="1">
        <v>45018</v>
      </c>
      <c r="AI67">
        <v>0</v>
      </c>
      <c r="AJ67">
        <v>14</v>
      </c>
      <c r="AK67">
        <v>0</v>
      </c>
      <c r="AL67">
        <v>35.799999999999997</v>
      </c>
      <c r="AM67" t="s">
        <v>501</v>
      </c>
      <c r="AN67">
        <v>7.3</v>
      </c>
      <c r="AO67" t="s">
        <v>521</v>
      </c>
      <c r="AP67">
        <v>5</v>
      </c>
    </row>
    <row r="68" spans="1:42" x14ac:dyDescent="0.2">
      <c r="A68" t="s">
        <v>193</v>
      </c>
      <c r="B68">
        <v>10155</v>
      </c>
      <c r="C68">
        <v>0</v>
      </c>
      <c r="D68">
        <v>0</v>
      </c>
      <c r="E68">
        <v>0</v>
      </c>
      <c r="F68">
        <v>1</v>
      </c>
      <c r="G68">
        <v>4</v>
      </c>
      <c r="H68">
        <v>3</v>
      </c>
      <c r="I68">
        <v>0</v>
      </c>
      <c r="J68" s="2">
        <v>101199</v>
      </c>
      <c r="K68">
        <v>0</v>
      </c>
      <c r="L68">
        <v>24</v>
      </c>
      <c r="M68" t="s">
        <v>80</v>
      </c>
      <c r="N68" t="s">
        <v>44</v>
      </c>
      <c r="O68">
        <v>2176</v>
      </c>
      <c r="P68" s="1">
        <v>33790</v>
      </c>
      <c r="Q68" t="s">
        <v>67</v>
      </c>
      <c r="R68" t="s">
        <v>46</v>
      </c>
      <c r="S68" t="s">
        <v>47</v>
      </c>
      <c r="T68" t="s">
        <v>48</v>
      </c>
      <c r="U68" t="s">
        <v>88</v>
      </c>
      <c r="V68" s="1">
        <v>43839</v>
      </c>
      <c r="W68" s="1" t="s">
        <v>492</v>
      </c>
      <c r="X68" t="s">
        <v>50</v>
      </c>
      <c r="Y68" t="s">
        <v>51</v>
      </c>
      <c r="Z68" t="s">
        <v>81</v>
      </c>
      <c r="AA68" t="s">
        <v>82</v>
      </c>
      <c r="AB68">
        <v>10</v>
      </c>
      <c r="AC68" t="s">
        <v>123</v>
      </c>
      <c r="AD68" t="s">
        <v>64</v>
      </c>
      <c r="AE68">
        <v>3.79</v>
      </c>
      <c r="AF68">
        <v>5</v>
      </c>
      <c r="AG68">
        <v>5</v>
      </c>
      <c r="AH68" s="1">
        <v>46047</v>
      </c>
      <c r="AI68">
        <v>0</v>
      </c>
      <c r="AJ68">
        <v>8</v>
      </c>
      <c r="AK68">
        <v>1</v>
      </c>
      <c r="AL68">
        <v>34.1</v>
      </c>
      <c r="AM68" t="s">
        <v>500</v>
      </c>
      <c r="AN68">
        <v>6.7</v>
      </c>
      <c r="AO68" t="s">
        <v>521</v>
      </c>
      <c r="AP68">
        <v>5</v>
      </c>
    </row>
    <row r="69" spans="1:42" x14ac:dyDescent="0.2">
      <c r="A69" t="s">
        <v>194</v>
      </c>
      <c r="B69">
        <v>10306</v>
      </c>
      <c r="C69">
        <v>0</v>
      </c>
      <c r="D69">
        <v>0</v>
      </c>
      <c r="E69">
        <v>1</v>
      </c>
      <c r="F69">
        <v>1</v>
      </c>
      <c r="G69">
        <v>6</v>
      </c>
      <c r="H69">
        <v>1</v>
      </c>
      <c r="I69">
        <v>0</v>
      </c>
      <c r="J69" s="2">
        <v>61568</v>
      </c>
      <c r="K69">
        <v>0</v>
      </c>
      <c r="L69">
        <v>3</v>
      </c>
      <c r="M69" t="s">
        <v>145</v>
      </c>
      <c r="N69" t="s">
        <v>195</v>
      </c>
      <c r="O69">
        <v>36006</v>
      </c>
      <c r="P69" s="1">
        <v>32449</v>
      </c>
      <c r="Q69" t="s">
        <v>45</v>
      </c>
      <c r="R69" t="s">
        <v>46</v>
      </c>
      <c r="S69" t="s">
        <v>47</v>
      </c>
      <c r="T69" t="s">
        <v>48</v>
      </c>
      <c r="U69" t="s">
        <v>104</v>
      </c>
      <c r="V69" s="1">
        <v>44833</v>
      </c>
      <c r="W69" s="1" t="s">
        <v>492</v>
      </c>
      <c r="X69" t="s">
        <v>50</v>
      </c>
      <c r="Y69" t="s">
        <v>51</v>
      </c>
      <c r="Z69" t="s">
        <v>5</v>
      </c>
      <c r="AA69" t="s">
        <v>147</v>
      </c>
      <c r="AB69">
        <v>17</v>
      </c>
      <c r="AC69" t="s">
        <v>63</v>
      </c>
      <c r="AD69" t="s">
        <v>196</v>
      </c>
      <c r="AE69">
        <v>1.93</v>
      </c>
      <c r="AF69">
        <v>3</v>
      </c>
      <c r="AG69">
        <v>0</v>
      </c>
      <c r="AH69" s="1">
        <v>46052</v>
      </c>
      <c r="AI69">
        <v>6</v>
      </c>
      <c r="AJ69">
        <v>5</v>
      </c>
      <c r="AK69">
        <v>1</v>
      </c>
      <c r="AL69">
        <v>37.799999999999997</v>
      </c>
      <c r="AM69" t="s">
        <v>501</v>
      </c>
      <c r="AN69">
        <v>3.8</v>
      </c>
      <c r="AO69" t="s">
        <v>508</v>
      </c>
      <c r="AP69">
        <v>4</v>
      </c>
    </row>
    <row r="70" spans="1:42" x14ac:dyDescent="0.2">
      <c r="A70" t="s">
        <v>197</v>
      </c>
      <c r="B70">
        <v>10100</v>
      </c>
      <c r="C70">
        <v>0</v>
      </c>
      <c r="D70">
        <v>3</v>
      </c>
      <c r="E70">
        <v>0</v>
      </c>
      <c r="F70">
        <v>5</v>
      </c>
      <c r="G70">
        <v>5</v>
      </c>
      <c r="H70">
        <v>3</v>
      </c>
      <c r="I70">
        <v>0</v>
      </c>
      <c r="J70" s="2">
        <v>58275</v>
      </c>
      <c r="K70">
        <v>1</v>
      </c>
      <c r="L70">
        <v>20</v>
      </c>
      <c r="M70" t="s">
        <v>66</v>
      </c>
      <c r="N70" t="s">
        <v>44</v>
      </c>
      <c r="O70">
        <v>2343</v>
      </c>
      <c r="P70" s="1">
        <v>23432</v>
      </c>
      <c r="Q70" t="s">
        <v>67</v>
      </c>
      <c r="R70" t="s">
        <v>143</v>
      </c>
      <c r="S70" t="s">
        <v>47</v>
      </c>
      <c r="T70" t="s">
        <v>48</v>
      </c>
      <c r="U70" t="s">
        <v>88</v>
      </c>
      <c r="V70" s="1">
        <v>43559</v>
      </c>
      <c r="W70" s="1">
        <v>45234</v>
      </c>
      <c r="X70" t="s">
        <v>198</v>
      </c>
      <c r="Y70" t="s">
        <v>60</v>
      </c>
      <c r="Z70" t="s">
        <v>52</v>
      </c>
      <c r="AA70" t="s">
        <v>105</v>
      </c>
      <c r="AB70">
        <v>18</v>
      </c>
      <c r="AC70" t="s">
        <v>76</v>
      </c>
      <c r="AD70" t="s">
        <v>64</v>
      </c>
      <c r="AE70">
        <v>4.62</v>
      </c>
      <c r="AF70">
        <v>5</v>
      </c>
      <c r="AG70">
        <v>0</v>
      </c>
      <c r="AH70" s="1">
        <v>44687</v>
      </c>
      <c r="AI70">
        <v>0</v>
      </c>
      <c r="AJ70">
        <v>1</v>
      </c>
      <c r="AK70">
        <v>0</v>
      </c>
      <c r="AL70">
        <v>62.6</v>
      </c>
      <c r="AM70" t="s">
        <v>518</v>
      </c>
      <c r="AN70">
        <v>7.4</v>
      </c>
      <c r="AO70" t="s">
        <v>521</v>
      </c>
      <c r="AP70">
        <v>5</v>
      </c>
    </row>
    <row r="71" spans="1:42" x14ac:dyDescent="0.2">
      <c r="A71" t="s">
        <v>199</v>
      </c>
      <c r="B71">
        <v>10310</v>
      </c>
      <c r="C71">
        <v>1</v>
      </c>
      <c r="D71">
        <v>1</v>
      </c>
      <c r="E71">
        <v>1</v>
      </c>
      <c r="F71">
        <v>1</v>
      </c>
      <c r="G71">
        <v>5</v>
      </c>
      <c r="H71">
        <v>1</v>
      </c>
      <c r="I71">
        <v>0</v>
      </c>
      <c r="J71" s="2">
        <v>53189</v>
      </c>
      <c r="K71">
        <v>0</v>
      </c>
      <c r="L71">
        <v>19</v>
      </c>
      <c r="M71" t="s">
        <v>43</v>
      </c>
      <c r="N71" t="s">
        <v>44</v>
      </c>
      <c r="O71">
        <v>2061</v>
      </c>
      <c r="P71" s="1">
        <v>29330</v>
      </c>
      <c r="Q71" t="s">
        <v>45</v>
      </c>
      <c r="R71" t="s">
        <v>58</v>
      </c>
      <c r="S71" t="s">
        <v>47</v>
      </c>
      <c r="T71" t="s">
        <v>48</v>
      </c>
      <c r="U71" t="s">
        <v>49</v>
      </c>
      <c r="V71" s="1">
        <v>44749</v>
      </c>
      <c r="W71" s="1" t="s">
        <v>492</v>
      </c>
      <c r="X71" t="s">
        <v>50</v>
      </c>
      <c r="Y71" t="s">
        <v>51</v>
      </c>
      <c r="Z71" t="s">
        <v>52</v>
      </c>
      <c r="AA71" t="s">
        <v>78</v>
      </c>
      <c r="AB71">
        <v>11</v>
      </c>
      <c r="AC71" t="s">
        <v>63</v>
      </c>
      <c r="AD71" t="s">
        <v>196</v>
      </c>
      <c r="AE71">
        <v>1.1200000000000001</v>
      </c>
      <c r="AF71">
        <v>2</v>
      </c>
      <c r="AG71">
        <v>0</v>
      </c>
      <c r="AH71" s="1">
        <v>46053</v>
      </c>
      <c r="AI71">
        <v>4</v>
      </c>
      <c r="AJ71">
        <v>9</v>
      </c>
      <c r="AK71">
        <v>1</v>
      </c>
      <c r="AL71">
        <v>46.4</v>
      </c>
      <c r="AM71" t="s">
        <v>502</v>
      </c>
      <c r="AN71">
        <v>4.0999999999999996</v>
      </c>
      <c r="AO71" t="s">
        <v>508</v>
      </c>
      <c r="AP71">
        <v>4</v>
      </c>
    </row>
    <row r="72" spans="1:42" x14ac:dyDescent="0.2">
      <c r="A72" t="s">
        <v>200</v>
      </c>
      <c r="B72">
        <v>10197</v>
      </c>
      <c r="C72">
        <v>0</v>
      </c>
      <c r="D72">
        <v>0</v>
      </c>
      <c r="E72">
        <v>1</v>
      </c>
      <c r="F72">
        <v>1</v>
      </c>
      <c r="G72">
        <v>3</v>
      </c>
      <c r="H72">
        <v>3</v>
      </c>
      <c r="I72">
        <v>0</v>
      </c>
      <c r="J72" s="2">
        <v>96820</v>
      </c>
      <c r="K72">
        <v>0</v>
      </c>
      <c r="L72">
        <v>4</v>
      </c>
      <c r="M72" t="s">
        <v>201</v>
      </c>
      <c r="N72" t="s">
        <v>44</v>
      </c>
      <c r="O72">
        <v>2045</v>
      </c>
      <c r="P72" s="1">
        <v>35312</v>
      </c>
      <c r="Q72" t="s">
        <v>45</v>
      </c>
      <c r="R72" t="s">
        <v>46</v>
      </c>
      <c r="S72" t="s">
        <v>47</v>
      </c>
      <c r="T72" t="s">
        <v>48</v>
      </c>
      <c r="U72" t="s">
        <v>49</v>
      </c>
      <c r="V72" s="1">
        <v>45703</v>
      </c>
      <c r="W72" s="1" t="s">
        <v>492</v>
      </c>
      <c r="X72" t="s">
        <v>50</v>
      </c>
      <c r="Y72" t="s">
        <v>51</v>
      </c>
      <c r="Z72" t="s">
        <v>61</v>
      </c>
      <c r="AA72" t="s">
        <v>202</v>
      </c>
      <c r="AB72">
        <v>13</v>
      </c>
      <c r="AC72" t="s">
        <v>63</v>
      </c>
      <c r="AD72" t="s">
        <v>64</v>
      </c>
      <c r="AE72">
        <v>3.01</v>
      </c>
      <c r="AF72">
        <v>5</v>
      </c>
      <c r="AG72">
        <v>7</v>
      </c>
      <c r="AH72" s="1">
        <v>46045</v>
      </c>
      <c r="AI72">
        <v>0</v>
      </c>
      <c r="AJ72">
        <v>15</v>
      </c>
      <c r="AK72">
        <v>1</v>
      </c>
      <c r="AL72">
        <v>29.8</v>
      </c>
      <c r="AM72" t="s">
        <v>500</v>
      </c>
      <c r="AN72">
        <v>1.6</v>
      </c>
      <c r="AO72" t="s">
        <v>506</v>
      </c>
      <c r="AP72">
        <v>2</v>
      </c>
    </row>
    <row r="73" spans="1:42" x14ac:dyDescent="0.2">
      <c r="A73" t="s">
        <v>203</v>
      </c>
      <c r="B73">
        <v>10276</v>
      </c>
      <c r="C73">
        <v>0</v>
      </c>
      <c r="D73">
        <v>0</v>
      </c>
      <c r="E73">
        <v>1</v>
      </c>
      <c r="F73">
        <v>1</v>
      </c>
      <c r="G73">
        <v>5</v>
      </c>
      <c r="H73">
        <v>3</v>
      </c>
      <c r="I73">
        <v>0</v>
      </c>
      <c r="J73" s="2">
        <v>51259</v>
      </c>
      <c r="K73">
        <v>0</v>
      </c>
      <c r="L73">
        <v>19</v>
      </c>
      <c r="M73" t="s">
        <v>43</v>
      </c>
      <c r="N73" t="s">
        <v>44</v>
      </c>
      <c r="O73">
        <v>2180</v>
      </c>
      <c r="P73" s="1">
        <v>35018</v>
      </c>
      <c r="Q73" t="s">
        <v>45</v>
      </c>
      <c r="R73" t="s">
        <v>46</v>
      </c>
      <c r="S73" t="s">
        <v>47</v>
      </c>
      <c r="T73" t="s">
        <v>48</v>
      </c>
      <c r="U73" t="s">
        <v>49</v>
      </c>
      <c r="V73" s="1">
        <v>44693</v>
      </c>
      <c r="W73" s="1" t="s">
        <v>492</v>
      </c>
      <c r="X73" t="s">
        <v>50</v>
      </c>
      <c r="Y73" t="s">
        <v>51</v>
      </c>
      <c r="Z73" t="s">
        <v>52</v>
      </c>
      <c r="AA73" t="s">
        <v>85</v>
      </c>
      <c r="AB73">
        <v>19</v>
      </c>
      <c r="AC73" t="s">
        <v>63</v>
      </c>
      <c r="AD73" t="s">
        <v>64</v>
      </c>
      <c r="AE73">
        <v>4.3</v>
      </c>
      <c r="AF73">
        <v>4</v>
      </c>
      <c r="AG73">
        <v>0</v>
      </c>
      <c r="AH73" s="1">
        <v>46072</v>
      </c>
      <c r="AI73">
        <v>0</v>
      </c>
      <c r="AJ73">
        <v>1</v>
      </c>
      <c r="AK73">
        <v>1</v>
      </c>
      <c r="AL73">
        <v>30.8</v>
      </c>
      <c r="AM73" t="s">
        <v>500</v>
      </c>
      <c r="AN73">
        <v>4.3</v>
      </c>
      <c r="AO73" t="s">
        <v>508</v>
      </c>
      <c r="AP73">
        <v>4</v>
      </c>
    </row>
    <row r="74" spans="1:42" x14ac:dyDescent="0.2">
      <c r="A74" t="s">
        <v>204</v>
      </c>
      <c r="B74">
        <v>10304</v>
      </c>
      <c r="C74">
        <v>0</v>
      </c>
      <c r="D74">
        <v>0</v>
      </c>
      <c r="E74">
        <v>0</v>
      </c>
      <c r="F74">
        <v>1</v>
      </c>
      <c r="G74">
        <v>6</v>
      </c>
      <c r="H74">
        <v>1</v>
      </c>
      <c r="I74">
        <v>0</v>
      </c>
      <c r="J74" s="2">
        <v>59231</v>
      </c>
      <c r="K74">
        <v>0</v>
      </c>
      <c r="L74">
        <v>3</v>
      </c>
      <c r="M74" t="s">
        <v>145</v>
      </c>
      <c r="N74" t="s">
        <v>205</v>
      </c>
      <c r="O74">
        <v>98052</v>
      </c>
      <c r="P74" s="1">
        <v>36660</v>
      </c>
      <c r="Q74" t="s">
        <v>67</v>
      </c>
      <c r="R74" t="s">
        <v>46</v>
      </c>
      <c r="S74" t="s">
        <v>47</v>
      </c>
      <c r="T74" t="s">
        <v>95</v>
      </c>
      <c r="U74" t="s">
        <v>49</v>
      </c>
      <c r="V74" s="1">
        <v>43881</v>
      </c>
      <c r="W74" s="1" t="s">
        <v>492</v>
      </c>
      <c r="X74" t="s">
        <v>50</v>
      </c>
      <c r="Y74" t="s">
        <v>51</v>
      </c>
      <c r="Z74" t="s">
        <v>5</v>
      </c>
      <c r="AA74" t="s">
        <v>147</v>
      </c>
      <c r="AB74">
        <v>17</v>
      </c>
      <c r="AC74" t="s">
        <v>206</v>
      </c>
      <c r="AD74" t="s">
        <v>196</v>
      </c>
      <c r="AE74">
        <v>2.2999999999999998</v>
      </c>
      <c r="AF74">
        <v>1</v>
      </c>
      <c r="AG74">
        <v>0</v>
      </c>
      <c r="AH74" s="1">
        <v>46051</v>
      </c>
      <c r="AI74">
        <v>2</v>
      </c>
      <c r="AJ74">
        <v>17</v>
      </c>
      <c r="AK74">
        <v>1</v>
      </c>
      <c r="AL74">
        <v>26.3</v>
      </c>
      <c r="AM74" t="s">
        <v>500</v>
      </c>
      <c r="AN74">
        <v>6.6</v>
      </c>
      <c r="AO74" t="s">
        <v>521</v>
      </c>
      <c r="AP74">
        <v>5</v>
      </c>
    </row>
    <row r="75" spans="1:42" x14ac:dyDescent="0.2">
      <c r="A75" t="s">
        <v>207</v>
      </c>
      <c r="B75">
        <v>10284</v>
      </c>
      <c r="C75">
        <v>1</v>
      </c>
      <c r="D75">
        <v>1</v>
      </c>
      <c r="E75">
        <v>0</v>
      </c>
      <c r="F75">
        <v>1</v>
      </c>
      <c r="G75">
        <v>5</v>
      </c>
      <c r="H75">
        <v>2</v>
      </c>
      <c r="I75">
        <v>0</v>
      </c>
      <c r="J75" s="2">
        <v>61584</v>
      </c>
      <c r="K75">
        <v>0</v>
      </c>
      <c r="L75">
        <v>19</v>
      </c>
      <c r="M75" t="s">
        <v>43</v>
      </c>
      <c r="N75" t="s">
        <v>44</v>
      </c>
      <c r="O75">
        <v>2351</v>
      </c>
      <c r="P75" s="1">
        <v>33574</v>
      </c>
      <c r="Q75" t="s">
        <v>67</v>
      </c>
      <c r="R75" t="s">
        <v>58</v>
      </c>
      <c r="S75" t="s">
        <v>47</v>
      </c>
      <c r="T75" t="s">
        <v>48</v>
      </c>
      <c r="U75" t="s">
        <v>88</v>
      </c>
      <c r="V75" s="1">
        <v>44203</v>
      </c>
      <c r="W75" s="1" t="s">
        <v>492</v>
      </c>
      <c r="X75" t="s">
        <v>50</v>
      </c>
      <c r="Y75" t="s">
        <v>51</v>
      </c>
      <c r="Z75" t="s">
        <v>52</v>
      </c>
      <c r="AA75" t="s">
        <v>89</v>
      </c>
      <c r="AB75">
        <v>12</v>
      </c>
      <c r="AC75" t="s">
        <v>63</v>
      </c>
      <c r="AD75" t="s">
        <v>124</v>
      </c>
      <c r="AE75">
        <v>3.88</v>
      </c>
      <c r="AF75">
        <v>4</v>
      </c>
      <c r="AG75">
        <v>0</v>
      </c>
      <c r="AH75" s="1">
        <v>46040</v>
      </c>
      <c r="AI75">
        <v>0</v>
      </c>
      <c r="AJ75">
        <v>6</v>
      </c>
      <c r="AK75">
        <v>1</v>
      </c>
      <c r="AL75">
        <v>34.799999999999997</v>
      </c>
      <c r="AM75" t="s">
        <v>500</v>
      </c>
      <c r="AN75">
        <v>5.7</v>
      </c>
      <c r="AO75" t="s">
        <v>521</v>
      </c>
      <c r="AP75">
        <v>5</v>
      </c>
    </row>
    <row r="76" spans="1:42" x14ac:dyDescent="0.2">
      <c r="A76" t="s">
        <v>208</v>
      </c>
      <c r="B76">
        <v>10207</v>
      </c>
      <c r="C76">
        <v>0</v>
      </c>
      <c r="D76">
        <v>0</v>
      </c>
      <c r="E76">
        <v>0</v>
      </c>
      <c r="F76">
        <v>1</v>
      </c>
      <c r="G76">
        <v>5</v>
      </c>
      <c r="H76">
        <v>3</v>
      </c>
      <c r="I76">
        <v>0</v>
      </c>
      <c r="J76" s="2">
        <v>46335</v>
      </c>
      <c r="K76">
        <v>0</v>
      </c>
      <c r="L76">
        <v>19</v>
      </c>
      <c r="M76" t="s">
        <v>43</v>
      </c>
      <c r="N76" t="s">
        <v>44</v>
      </c>
      <c r="O76">
        <v>2125</v>
      </c>
      <c r="P76" s="1">
        <v>36440</v>
      </c>
      <c r="Q76" t="s">
        <v>67</v>
      </c>
      <c r="R76" t="s">
        <v>46</v>
      </c>
      <c r="S76" t="s">
        <v>47</v>
      </c>
      <c r="T76" t="s">
        <v>95</v>
      </c>
      <c r="U76" t="s">
        <v>49</v>
      </c>
      <c r="V76" s="1">
        <v>43923</v>
      </c>
      <c r="W76" s="1" t="s">
        <v>492</v>
      </c>
      <c r="X76" t="s">
        <v>50</v>
      </c>
      <c r="Y76" t="s">
        <v>51</v>
      </c>
      <c r="Z76" t="s">
        <v>52</v>
      </c>
      <c r="AA76" t="s">
        <v>97</v>
      </c>
      <c r="AB76">
        <v>14</v>
      </c>
      <c r="AC76" t="s">
        <v>123</v>
      </c>
      <c r="AD76" t="s">
        <v>64</v>
      </c>
      <c r="AE76">
        <v>3.4</v>
      </c>
      <c r="AF76">
        <v>5</v>
      </c>
      <c r="AG76">
        <v>0</v>
      </c>
      <c r="AH76" s="1">
        <v>46072</v>
      </c>
      <c r="AI76">
        <v>0</v>
      </c>
      <c r="AJ76">
        <v>15</v>
      </c>
      <c r="AK76">
        <v>1</v>
      </c>
      <c r="AL76">
        <v>26.8</v>
      </c>
      <c r="AM76" t="s">
        <v>500</v>
      </c>
      <c r="AN76">
        <v>6.4</v>
      </c>
      <c r="AO76" t="s">
        <v>521</v>
      </c>
      <c r="AP76">
        <v>5</v>
      </c>
    </row>
    <row r="77" spans="1:42" x14ac:dyDescent="0.2">
      <c r="A77" t="s">
        <v>209</v>
      </c>
      <c r="B77">
        <v>10133</v>
      </c>
      <c r="C77">
        <v>1</v>
      </c>
      <c r="D77">
        <v>1</v>
      </c>
      <c r="E77">
        <v>0</v>
      </c>
      <c r="F77">
        <v>1</v>
      </c>
      <c r="G77">
        <v>3</v>
      </c>
      <c r="H77">
        <v>3</v>
      </c>
      <c r="I77">
        <v>0</v>
      </c>
      <c r="J77" s="2">
        <v>70621</v>
      </c>
      <c r="K77">
        <v>0</v>
      </c>
      <c r="L77">
        <v>14</v>
      </c>
      <c r="M77" t="s">
        <v>92</v>
      </c>
      <c r="N77" t="s">
        <v>44</v>
      </c>
      <c r="O77">
        <v>2119</v>
      </c>
      <c r="P77" s="1">
        <v>37090</v>
      </c>
      <c r="Q77" t="s">
        <v>67</v>
      </c>
      <c r="R77" t="s">
        <v>58</v>
      </c>
      <c r="S77" t="s">
        <v>47</v>
      </c>
      <c r="T77" t="s">
        <v>48</v>
      </c>
      <c r="U77" t="s">
        <v>49</v>
      </c>
      <c r="V77" s="1">
        <v>44931</v>
      </c>
      <c r="W77" s="1" t="s">
        <v>492</v>
      </c>
      <c r="X77" t="s">
        <v>50</v>
      </c>
      <c r="Y77" t="s">
        <v>51</v>
      </c>
      <c r="Z77" t="s">
        <v>61</v>
      </c>
      <c r="AA77" t="s">
        <v>93</v>
      </c>
      <c r="AB77">
        <v>7</v>
      </c>
      <c r="AC77" t="s">
        <v>86</v>
      </c>
      <c r="AD77" t="s">
        <v>64</v>
      </c>
      <c r="AE77">
        <v>4.1100000000000003</v>
      </c>
      <c r="AF77">
        <v>4</v>
      </c>
      <c r="AG77">
        <v>6</v>
      </c>
      <c r="AH77" s="1">
        <v>46078</v>
      </c>
      <c r="AI77">
        <v>0</v>
      </c>
      <c r="AJ77">
        <v>16</v>
      </c>
      <c r="AK77">
        <v>1</v>
      </c>
      <c r="AL77">
        <v>25.1</v>
      </c>
      <c r="AM77" t="s">
        <v>500</v>
      </c>
      <c r="AN77">
        <v>3.7</v>
      </c>
      <c r="AO77" t="s">
        <v>508</v>
      </c>
      <c r="AP77">
        <v>4</v>
      </c>
    </row>
    <row r="78" spans="1:42" x14ac:dyDescent="0.2">
      <c r="A78" t="s">
        <v>210</v>
      </c>
      <c r="B78">
        <v>10028</v>
      </c>
      <c r="C78">
        <v>0</v>
      </c>
      <c r="D78">
        <v>0</v>
      </c>
      <c r="E78">
        <v>1</v>
      </c>
      <c r="F78">
        <v>1</v>
      </c>
      <c r="G78">
        <v>3</v>
      </c>
      <c r="H78">
        <v>4</v>
      </c>
      <c r="I78">
        <v>0</v>
      </c>
      <c r="J78" s="2">
        <v>138888</v>
      </c>
      <c r="K78">
        <v>0</v>
      </c>
      <c r="L78">
        <v>13</v>
      </c>
      <c r="M78" t="s">
        <v>211</v>
      </c>
      <c r="N78" t="s">
        <v>44</v>
      </c>
      <c r="O78">
        <v>1886</v>
      </c>
      <c r="P78" s="1">
        <v>30506</v>
      </c>
      <c r="Q78" t="s">
        <v>45</v>
      </c>
      <c r="R78" t="s">
        <v>46</v>
      </c>
      <c r="S78" t="s">
        <v>47</v>
      </c>
      <c r="T78" t="s">
        <v>48</v>
      </c>
      <c r="U78" t="s">
        <v>88</v>
      </c>
      <c r="V78" s="1">
        <v>44566</v>
      </c>
      <c r="W78" s="1" t="s">
        <v>492</v>
      </c>
      <c r="X78" t="s">
        <v>50</v>
      </c>
      <c r="Y78" t="s">
        <v>51</v>
      </c>
      <c r="Z78" t="s">
        <v>61</v>
      </c>
      <c r="AA78" t="s">
        <v>152</v>
      </c>
      <c r="AB78">
        <v>5</v>
      </c>
      <c r="AC78" t="s">
        <v>63</v>
      </c>
      <c r="AD78" t="s">
        <v>55</v>
      </c>
      <c r="AE78">
        <v>4.3</v>
      </c>
      <c r="AF78">
        <v>5</v>
      </c>
      <c r="AG78">
        <v>5</v>
      </c>
      <c r="AH78" s="1">
        <v>46026</v>
      </c>
      <c r="AI78">
        <v>0</v>
      </c>
      <c r="AJ78">
        <v>4</v>
      </c>
      <c r="AK78">
        <v>1</v>
      </c>
      <c r="AL78">
        <v>43.1</v>
      </c>
      <c r="AM78" t="s">
        <v>501</v>
      </c>
      <c r="AN78">
        <v>4.7</v>
      </c>
      <c r="AO78" t="s">
        <v>508</v>
      </c>
      <c r="AP78">
        <v>4</v>
      </c>
    </row>
    <row r="79" spans="1:42" x14ac:dyDescent="0.2">
      <c r="A79" t="s">
        <v>212</v>
      </c>
      <c r="B79">
        <v>10006</v>
      </c>
      <c r="C79">
        <v>0</v>
      </c>
      <c r="D79">
        <v>0</v>
      </c>
      <c r="E79">
        <v>0</v>
      </c>
      <c r="F79">
        <v>1</v>
      </c>
      <c r="G79">
        <v>6</v>
      </c>
      <c r="H79">
        <v>4</v>
      </c>
      <c r="I79">
        <v>0</v>
      </c>
      <c r="J79" s="2">
        <v>74241</v>
      </c>
      <c r="K79">
        <v>0</v>
      </c>
      <c r="L79">
        <v>3</v>
      </c>
      <c r="M79" t="s">
        <v>145</v>
      </c>
      <c r="N79" t="s">
        <v>213</v>
      </c>
      <c r="O79">
        <v>90007</v>
      </c>
      <c r="P79" s="1">
        <v>37203</v>
      </c>
      <c r="Q79" t="s">
        <v>67</v>
      </c>
      <c r="R79" t="s">
        <v>46</v>
      </c>
      <c r="S79" t="s">
        <v>47</v>
      </c>
      <c r="T79" t="s">
        <v>48</v>
      </c>
      <c r="U79" t="s">
        <v>49</v>
      </c>
      <c r="V79" s="1">
        <v>43475</v>
      </c>
      <c r="W79" s="1" t="s">
        <v>492</v>
      </c>
      <c r="X79" t="s">
        <v>50</v>
      </c>
      <c r="Y79" t="s">
        <v>51</v>
      </c>
      <c r="Z79" t="s">
        <v>5</v>
      </c>
      <c r="AA79" t="s">
        <v>165</v>
      </c>
      <c r="AB79">
        <v>21</v>
      </c>
      <c r="AC79" t="s">
        <v>63</v>
      </c>
      <c r="AD79" t="s">
        <v>55</v>
      </c>
      <c r="AE79">
        <v>4.7699999999999996</v>
      </c>
      <c r="AF79">
        <v>5</v>
      </c>
      <c r="AG79">
        <v>0</v>
      </c>
      <c r="AH79" s="1">
        <v>46049</v>
      </c>
      <c r="AI79">
        <v>0</v>
      </c>
      <c r="AJ79">
        <v>14</v>
      </c>
      <c r="AK79">
        <v>1</v>
      </c>
      <c r="AL79">
        <v>24.8</v>
      </c>
      <c r="AM79" t="s">
        <v>499</v>
      </c>
      <c r="AN79">
        <v>7.7</v>
      </c>
      <c r="AO79" t="s">
        <v>521</v>
      </c>
      <c r="AP79">
        <v>5</v>
      </c>
    </row>
    <row r="80" spans="1:42" x14ac:dyDescent="0.2">
      <c r="A80" t="s">
        <v>214</v>
      </c>
      <c r="B80">
        <v>10105</v>
      </c>
      <c r="C80">
        <v>0</v>
      </c>
      <c r="D80">
        <v>0</v>
      </c>
      <c r="E80">
        <v>0</v>
      </c>
      <c r="F80">
        <v>1</v>
      </c>
      <c r="G80">
        <v>5</v>
      </c>
      <c r="H80">
        <v>3</v>
      </c>
      <c r="I80">
        <v>0</v>
      </c>
      <c r="J80" s="2">
        <v>75188</v>
      </c>
      <c r="K80">
        <v>0</v>
      </c>
      <c r="L80">
        <v>18</v>
      </c>
      <c r="M80" t="s">
        <v>135</v>
      </c>
      <c r="N80" t="s">
        <v>44</v>
      </c>
      <c r="O80">
        <v>1731</v>
      </c>
      <c r="P80" s="1">
        <v>31744</v>
      </c>
      <c r="Q80" t="s">
        <v>67</v>
      </c>
      <c r="R80" t="s">
        <v>46</v>
      </c>
      <c r="S80" t="s">
        <v>47</v>
      </c>
      <c r="T80" t="s">
        <v>48</v>
      </c>
      <c r="U80" t="s">
        <v>49</v>
      </c>
      <c r="V80" s="1">
        <v>44822</v>
      </c>
      <c r="W80" s="1" t="s">
        <v>492</v>
      </c>
      <c r="X80" t="s">
        <v>50</v>
      </c>
      <c r="Y80" t="s">
        <v>51</v>
      </c>
      <c r="Z80" t="s">
        <v>52</v>
      </c>
      <c r="AA80" t="s">
        <v>137</v>
      </c>
      <c r="AB80">
        <v>2</v>
      </c>
      <c r="AC80" t="s">
        <v>76</v>
      </c>
      <c r="AD80" t="s">
        <v>64</v>
      </c>
      <c r="AE80">
        <v>4.5199999999999996</v>
      </c>
      <c r="AF80">
        <v>4</v>
      </c>
      <c r="AG80">
        <v>0</v>
      </c>
      <c r="AH80" s="1">
        <v>46037</v>
      </c>
      <c r="AI80">
        <v>0</v>
      </c>
      <c r="AJ80">
        <v>4</v>
      </c>
      <c r="AK80">
        <v>1</v>
      </c>
      <c r="AL80">
        <v>39.799999999999997</v>
      </c>
      <c r="AM80" t="s">
        <v>501</v>
      </c>
      <c r="AN80">
        <v>3.8</v>
      </c>
      <c r="AO80" t="s">
        <v>508</v>
      </c>
      <c r="AP80">
        <v>4</v>
      </c>
    </row>
    <row r="81" spans="1:42" x14ac:dyDescent="0.2">
      <c r="A81" t="s">
        <v>215</v>
      </c>
      <c r="B81">
        <v>10211</v>
      </c>
      <c r="C81">
        <v>1</v>
      </c>
      <c r="D81">
        <v>1</v>
      </c>
      <c r="E81">
        <v>0</v>
      </c>
      <c r="F81">
        <v>1</v>
      </c>
      <c r="G81">
        <v>5</v>
      </c>
      <c r="H81">
        <v>3</v>
      </c>
      <c r="I81">
        <v>0</v>
      </c>
      <c r="J81" s="2">
        <v>62514</v>
      </c>
      <c r="K81">
        <v>0</v>
      </c>
      <c r="L81">
        <v>19</v>
      </c>
      <c r="M81" t="s">
        <v>43</v>
      </c>
      <c r="N81" t="s">
        <v>44</v>
      </c>
      <c r="O81">
        <v>1749</v>
      </c>
      <c r="P81" s="1">
        <v>31678</v>
      </c>
      <c r="Q81" t="s">
        <v>67</v>
      </c>
      <c r="R81" t="s">
        <v>58</v>
      </c>
      <c r="S81" t="s">
        <v>47</v>
      </c>
      <c r="T81" t="s">
        <v>48</v>
      </c>
      <c r="U81" t="s">
        <v>49</v>
      </c>
      <c r="V81" s="1">
        <v>43216</v>
      </c>
      <c r="W81" s="1" t="s">
        <v>492</v>
      </c>
      <c r="X81" t="s">
        <v>50</v>
      </c>
      <c r="Y81" t="s">
        <v>51</v>
      </c>
      <c r="Z81" t="s">
        <v>52</v>
      </c>
      <c r="AA81" t="s">
        <v>85</v>
      </c>
      <c r="AB81">
        <v>19</v>
      </c>
      <c r="AC81" t="s">
        <v>76</v>
      </c>
      <c r="AD81" t="s">
        <v>64</v>
      </c>
      <c r="AE81">
        <v>2.9</v>
      </c>
      <c r="AF81">
        <v>3</v>
      </c>
      <c r="AG81">
        <v>0</v>
      </c>
      <c r="AH81" s="1">
        <v>46043</v>
      </c>
      <c r="AI81">
        <v>0</v>
      </c>
      <c r="AJ81">
        <v>6</v>
      </c>
      <c r="AK81">
        <v>1</v>
      </c>
      <c r="AL81">
        <v>39.799999999999997</v>
      </c>
      <c r="AM81" t="s">
        <v>501</v>
      </c>
      <c r="AN81">
        <v>8.4</v>
      </c>
      <c r="AO81" t="s">
        <v>521</v>
      </c>
      <c r="AP81">
        <v>5</v>
      </c>
    </row>
    <row r="82" spans="1:42" x14ac:dyDescent="0.2">
      <c r="A82" t="s">
        <v>216</v>
      </c>
      <c r="B82">
        <v>10064</v>
      </c>
      <c r="C82">
        <v>1</v>
      </c>
      <c r="D82">
        <v>1</v>
      </c>
      <c r="E82">
        <v>0</v>
      </c>
      <c r="F82">
        <v>5</v>
      </c>
      <c r="G82">
        <v>5</v>
      </c>
      <c r="H82">
        <v>3</v>
      </c>
      <c r="I82">
        <v>0</v>
      </c>
      <c r="J82" s="2">
        <v>60070</v>
      </c>
      <c r="K82">
        <v>1</v>
      </c>
      <c r="L82">
        <v>19</v>
      </c>
      <c r="M82" t="s">
        <v>43</v>
      </c>
      <c r="N82" t="s">
        <v>44</v>
      </c>
      <c r="O82">
        <v>2343</v>
      </c>
      <c r="P82" s="1">
        <v>38235</v>
      </c>
      <c r="Q82" t="s">
        <v>67</v>
      </c>
      <c r="R82" t="s">
        <v>58</v>
      </c>
      <c r="S82" t="s">
        <v>47</v>
      </c>
      <c r="T82" t="s">
        <v>48</v>
      </c>
      <c r="U82" t="s">
        <v>49</v>
      </c>
      <c r="V82" s="1">
        <v>43559</v>
      </c>
      <c r="W82" s="1">
        <v>45814</v>
      </c>
      <c r="X82" t="s">
        <v>217</v>
      </c>
      <c r="Y82" t="s">
        <v>60</v>
      </c>
      <c r="Z82" t="s">
        <v>52</v>
      </c>
      <c r="AA82" t="s">
        <v>69</v>
      </c>
      <c r="AB82">
        <v>20</v>
      </c>
      <c r="AC82" t="s">
        <v>76</v>
      </c>
      <c r="AD82" t="s">
        <v>64</v>
      </c>
      <c r="AE82">
        <v>5</v>
      </c>
      <c r="AF82">
        <v>3</v>
      </c>
      <c r="AG82">
        <v>0</v>
      </c>
      <c r="AH82" s="1">
        <v>45391</v>
      </c>
      <c r="AI82">
        <v>0</v>
      </c>
      <c r="AJ82">
        <v>7</v>
      </c>
      <c r="AK82">
        <v>0</v>
      </c>
      <c r="AL82">
        <v>21.8</v>
      </c>
      <c r="AM82" t="s">
        <v>499</v>
      </c>
      <c r="AN82">
        <v>7.4</v>
      </c>
      <c r="AO82" t="s">
        <v>521</v>
      </c>
      <c r="AP82">
        <v>5</v>
      </c>
    </row>
    <row r="83" spans="1:42" x14ac:dyDescent="0.2">
      <c r="A83" t="s">
        <v>218</v>
      </c>
      <c r="B83">
        <v>10247</v>
      </c>
      <c r="C83">
        <v>0</v>
      </c>
      <c r="D83">
        <v>0</v>
      </c>
      <c r="E83">
        <v>1</v>
      </c>
      <c r="F83">
        <v>1</v>
      </c>
      <c r="G83">
        <v>5</v>
      </c>
      <c r="H83">
        <v>3</v>
      </c>
      <c r="I83">
        <v>0</v>
      </c>
      <c r="J83" s="2">
        <v>48888</v>
      </c>
      <c r="K83">
        <v>0</v>
      </c>
      <c r="L83">
        <v>19</v>
      </c>
      <c r="M83" t="s">
        <v>43</v>
      </c>
      <c r="N83" t="s">
        <v>44</v>
      </c>
      <c r="O83">
        <v>2026</v>
      </c>
      <c r="P83" s="1">
        <v>31928</v>
      </c>
      <c r="Q83" t="s">
        <v>45</v>
      </c>
      <c r="R83" t="s">
        <v>46</v>
      </c>
      <c r="S83" t="s">
        <v>47</v>
      </c>
      <c r="T83" t="s">
        <v>48</v>
      </c>
      <c r="U83" t="s">
        <v>49</v>
      </c>
      <c r="V83" s="1">
        <v>44875</v>
      </c>
      <c r="W83" s="1" t="s">
        <v>492</v>
      </c>
      <c r="X83" t="s">
        <v>50</v>
      </c>
      <c r="Y83" t="s">
        <v>51</v>
      </c>
      <c r="Z83" t="s">
        <v>52</v>
      </c>
      <c r="AA83" t="s">
        <v>105</v>
      </c>
      <c r="AB83">
        <v>18</v>
      </c>
      <c r="AC83" t="s">
        <v>54</v>
      </c>
      <c r="AD83" t="s">
        <v>64</v>
      </c>
      <c r="AE83">
        <v>4.7</v>
      </c>
      <c r="AF83">
        <v>5</v>
      </c>
      <c r="AG83">
        <v>0</v>
      </c>
      <c r="AH83" s="1">
        <v>46066</v>
      </c>
      <c r="AI83">
        <v>0</v>
      </c>
      <c r="AJ83">
        <v>8</v>
      </c>
      <c r="AK83">
        <v>1</v>
      </c>
      <c r="AL83">
        <v>39.299999999999997</v>
      </c>
      <c r="AM83" t="s">
        <v>501</v>
      </c>
      <c r="AN83">
        <v>3.8</v>
      </c>
      <c r="AO83" t="s">
        <v>508</v>
      </c>
      <c r="AP83">
        <v>4</v>
      </c>
    </row>
    <row r="84" spans="1:42" x14ac:dyDescent="0.2">
      <c r="A84" t="s">
        <v>219</v>
      </c>
      <c r="B84">
        <v>10235</v>
      </c>
      <c r="C84">
        <v>1</v>
      </c>
      <c r="D84">
        <v>1</v>
      </c>
      <c r="E84">
        <v>1</v>
      </c>
      <c r="F84">
        <v>1</v>
      </c>
      <c r="G84">
        <v>5</v>
      </c>
      <c r="H84">
        <v>3</v>
      </c>
      <c r="I84">
        <v>0</v>
      </c>
      <c r="J84" s="2">
        <v>54285</v>
      </c>
      <c r="K84">
        <v>0</v>
      </c>
      <c r="L84">
        <v>19</v>
      </c>
      <c r="M84" t="s">
        <v>43</v>
      </c>
      <c r="N84" t="s">
        <v>44</v>
      </c>
      <c r="O84">
        <v>2045</v>
      </c>
      <c r="P84" s="1">
        <v>33475</v>
      </c>
      <c r="Q84" t="s">
        <v>45</v>
      </c>
      <c r="R84" t="s">
        <v>58</v>
      </c>
      <c r="S84" t="s">
        <v>47</v>
      </c>
      <c r="T84" t="s">
        <v>48</v>
      </c>
      <c r="U84" t="s">
        <v>49</v>
      </c>
      <c r="V84" s="1">
        <v>44651</v>
      </c>
      <c r="W84" s="1" t="s">
        <v>492</v>
      </c>
      <c r="X84" t="s">
        <v>50</v>
      </c>
      <c r="Y84" t="s">
        <v>51</v>
      </c>
      <c r="Z84" t="s">
        <v>52</v>
      </c>
      <c r="AA84" t="s">
        <v>105</v>
      </c>
      <c r="AB84">
        <v>18</v>
      </c>
      <c r="AC84" t="s">
        <v>86</v>
      </c>
      <c r="AD84" t="s">
        <v>64</v>
      </c>
      <c r="AE84">
        <v>4.2</v>
      </c>
      <c r="AF84">
        <v>3</v>
      </c>
      <c r="AG84">
        <v>0</v>
      </c>
      <c r="AH84" s="1">
        <v>46033</v>
      </c>
      <c r="AI84">
        <v>0</v>
      </c>
      <c r="AJ84">
        <v>3</v>
      </c>
      <c r="AK84">
        <v>1</v>
      </c>
      <c r="AL84">
        <v>35</v>
      </c>
      <c r="AM84" t="s">
        <v>501</v>
      </c>
      <c r="AN84">
        <v>4.5</v>
      </c>
      <c r="AO84" t="s">
        <v>508</v>
      </c>
      <c r="AP84">
        <v>4</v>
      </c>
    </row>
    <row r="85" spans="1:42" x14ac:dyDescent="0.2">
      <c r="A85" t="s">
        <v>220</v>
      </c>
      <c r="B85">
        <v>10299</v>
      </c>
      <c r="C85">
        <v>0</v>
      </c>
      <c r="D85">
        <v>3</v>
      </c>
      <c r="E85">
        <v>0</v>
      </c>
      <c r="F85">
        <v>1</v>
      </c>
      <c r="G85">
        <v>5</v>
      </c>
      <c r="H85">
        <v>1</v>
      </c>
      <c r="I85">
        <v>0</v>
      </c>
      <c r="J85" s="2">
        <v>56847</v>
      </c>
      <c r="K85">
        <v>0</v>
      </c>
      <c r="L85">
        <v>20</v>
      </c>
      <c r="M85" t="s">
        <v>66</v>
      </c>
      <c r="N85" t="s">
        <v>44</v>
      </c>
      <c r="O85">
        <v>2133</v>
      </c>
      <c r="P85" s="1">
        <v>37493</v>
      </c>
      <c r="Q85" t="s">
        <v>67</v>
      </c>
      <c r="R85" t="s">
        <v>143</v>
      </c>
      <c r="S85" t="s">
        <v>47</v>
      </c>
      <c r="T85" t="s">
        <v>48</v>
      </c>
      <c r="U85" t="s">
        <v>49</v>
      </c>
      <c r="V85" s="1">
        <v>44749</v>
      </c>
      <c r="W85" s="1" t="s">
        <v>492</v>
      </c>
      <c r="X85" t="s">
        <v>50</v>
      </c>
      <c r="Y85" t="s">
        <v>51</v>
      </c>
      <c r="Z85" t="s">
        <v>52</v>
      </c>
      <c r="AA85" t="s">
        <v>53</v>
      </c>
      <c r="AB85">
        <v>22</v>
      </c>
      <c r="AC85" t="s">
        <v>63</v>
      </c>
      <c r="AD85" t="s">
        <v>196</v>
      </c>
      <c r="AE85">
        <v>3</v>
      </c>
      <c r="AF85">
        <v>1</v>
      </c>
      <c r="AG85">
        <v>0</v>
      </c>
      <c r="AH85" s="1">
        <v>46078</v>
      </c>
      <c r="AI85">
        <v>2</v>
      </c>
      <c r="AJ85">
        <v>5</v>
      </c>
      <c r="AK85">
        <v>1</v>
      </c>
      <c r="AL85">
        <v>24</v>
      </c>
      <c r="AM85" t="s">
        <v>499</v>
      </c>
      <c r="AN85">
        <v>4.0999999999999996</v>
      </c>
      <c r="AO85" t="s">
        <v>508</v>
      </c>
      <c r="AP85">
        <v>4</v>
      </c>
    </row>
    <row r="86" spans="1:42" x14ac:dyDescent="0.2">
      <c r="A86" t="s">
        <v>221</v>
      </c>
      <c r="B86">
        <v>10280</v>
      </c>
      <c r="C86">
        <v>0</v>
      </c>
      <c r="D86">
        <v>0</v>
      </c>
      <c r="E86">
        <v>1</v>
      </c>
      <c r="F86">
        <v>4</v>
      </c>
      <c r="G86">
        <v>5</v>
      </c>
      <c r="H86">
        <v>2</v>
      </c>
      <c r="I86">
        <v>0</v>
      </c>
      <c r="J86" s="2">
        <v>60340</v>
      </c>
      <c r="K86">
        <v>1</v>
      </c>
      <c r="L86">
        <v>19</v>
      </c>
      <c r="M86" t="s">
        <v>43</v>
      </c>
      <c r="N86" t="s">
        <v>44</v>
      </c>
      <c r="O86">
        <v>2129</v>
      </c>
      <c r="P86" s="1">
        <v>35310</v>
      </c>
      <c r="Q86" t="s">
        <v>45</v>
      </c>
      <c r="R86" t="s">
        <v>46</v>
      </c>
      <c r="S86" t="s">
        <v>47</v>
      </c>
      <c r="T86" t="s">
        <v>48</v>
      </c>
      <c r="U86" t="s">
        <v>49</v>
      </c>
      <c r="V86" s="1">
        <v>43923</v>
      </c>
      <c r="W86" s="1">
        <v>43370</v>
      </c>
      <c r="X86" t="s">
        <v>109</v>
      </c>
      <c r="Y86" t="s">
        <v>110</v>
      </c>
      <c r="Z86" t="s">
        <v>52</v>
      </c>
      <c r="AA86" t="s">
        <v>53</v>
      </c>
      <c r="AB86">
        <v>22</v>
      </c>
      <c r="AC86" t="s">
        <v>76</v>
      </c>
      <c r="AD86" t="s">
        <v>124</v>
      </c>
      <c r="AE86">
        <v>5</v>
      </c>
      <c r="AF86">
        <v>4</v>
      </c>
      <c r="AG86">
        <v>0</v>
      </c>
      <c r="AH86" s="1">
        <v>45759</v>
      </c>
      <c r="AI86">
        <v>5</v>
      </c>
      <c r="AJ86">
        <v>16</v>
      </c>
      <c r="AK86">
        <v>0</v>
      </c>
      <c r="AL86">
        <v>29.8</v>
      </c>
      <c r="AM86" t="s">
        <v>500</v>
      </c>
      <c r="AN86">
        <v>6.4</v>
      </c>
      <c r="AO86" t="s">
        <v>521</v>
      </c>
      <c r="AP86">
        <v>5</v>
      </c>
    </row>
    <row r="87" spans="1:42" x14ac:dyDescent="0.2">
      <c r="A87" t="s">
        <v>222</v>
      </c>
      <c r="B87">
        <v>10296</v>
      </c>
      <c r="C87">
        <v>0</v>
      </c>
      <c r="D87">
        <v>0</v>
      </c>
      <c r="E87">
        <v>0</v>
      </c>
      <c r="F87">
        <v>4</v>
      </c>
      <c r="G87">
        <v>5</v>
      </c>
      <c r="H87">
        <v>2</v>
      </c>
      <c r="I87">
        <v>0</v>
      </c>
      <c r="J87" s="2">
        <v>59124</v>
      </c>
      <c r="K87">
        <v>1</v>
      </c>
      <c r="L87">
        <v>19</v>
      </c>
      <c r="M87" t="s">
        <v>43</v>
      </c>
      <c r="N87" t="s">
        <v>44</v>
      </c>
      <c r="O87">
        <v>2458</v>
      </c>
      <c r="P87" s="1">
        <v>37382</v>
      </c>
      <c r="Q87" t="s">
        <v>67</v>
      </c>
      <c r="R87" t="s">
        <v>46</v>
      </c>
      <c r="S87" t="s">
        <v>47</v>
      </c>
      <c r="T87" t="s">
        <v>48</v>
      </c>
      <c r="U87" t="s">
        <v>49</v>
      </c>
      <c r="V87" s="1">
        <v>44609</v>
      </c>
      <c r="W87" s="1">
        <v>46078</v>
      </c>
      <c r="X87" t="s">
        <v>223</v>
      </c>
      <c r="Y87" t="s">
        <v>110</v>
      </c>
      <c r="Z87" t="s">
        <v>52</v>
      </c>
      <c r="AA87" t="s">
        <v>71</v>
      </c>
      <c r="AB87">
        <v>16</v>
      </c>
      <c r="AC87" t="s">
        <v>76</v>
      </c>
      <c r="AD87" t="s">
        <v>124</v>
      </c>
      <c r="AE87">
        <v>2.2999999999999998</v>
      </c>
      <c r="AF87">
        <v>3</v>
      </c>
      <c r="AG87">
        <v>0</v>
      </c>
      <c r="AH87" s="1">
        <v>45306</v>
      </c>
      <c r="AI87">
        <v>5</v>
      </c>
      <c r="AJ87">
        <v>19</v>
      </c>
      <c r="AK87">
        <v>0</v>
      </c>
      <c r="AL87">
        <v>24.3</v>
      </c>
      <c r="AM87" t="s">
        <v>499</v>
      </c>
      <c r="AN87">
        <v>4.5999999999999996</v>
      </c>
      <c r="AO87" t="s">
        <v>508</v>
      </c>
      <c r="AP87">
        <v>4</v>
      </c>
    </row>
    <row r="88" spans="1:42" x14ac:dyDescent="0.2">
      <c r="A88" t="s">
        <v>224</v>
      </c>
      <c r="B88">
        <v>10290</v>
      </c>
      <c r="C88">
        <v>1</v>
      </c>
      <c r="D88">
        <v>1</v>
      </c>
      <c r="E88">
        <v>0</v>
      </c>
      <c r="F88">
        <v>4</v>
      </c>
      <c r="G88">
        <v>4</v>
      </c>
      <c r="H88">
        <v>2</v>
      </c>
      <c r="I88">
        <v>0</v>
      </c>
      <c r="J88" s="2">
        <v>99280</v>
      </c>
      <c r="K88">
        <v>1</v>
      </c>
      <c r="L88">
        <v>24</v>
      </c>
      <c r="M88" t="s">
        <v>80</v>
      </c>
      <c r="N88" t="s">
        <v>44</v>
      </c>
      <c r="O88">
        <v>1749</v>
      </c>
      <c r="P88" s="1">
        <v>36661</v>
      </c>
      <c r="Q88" t="s">
        <v>67</v>
      </c>
      <c r="R88" t="s">
        <v>58</v>
      </c>
      <c r="S88" t="s">
        <v>47</v>
      </c>
      <c r="T88" t="s">
        <v>48</v>
      </c>
      <c r="U88" t="s">
        <v>88</v>
      </c>
      <c r="V88" s="1">
        <v>43587</v>
      </c>
      <c r="W88" s="1">
        <v>44352</v>
      </c>
      <c r="X88" t="s">
        <v>109</v>
      </c>
      <c r="Y88" t="s">
        <v>110</v>
      </c>
      <c r="Z88" t="s">
        <v>81</v>
      </c>
      <c r="AA88" t="s">
        <v>82</v>
      </c>
      <c r="AB88">
        <v>10</v>
      </c>
      <c r="AC88" t="s">
        <v>63</v>
      </c>
      <c r="AD88" t="s">
        <v>124</v>
      </c>
      <c r="AE88">
        <v>2.1</v>
      </c>
      <c r="AF88">
        <v>5</v>
      </c>
      <c r="AG88">
        <v>4</v>
      </c>
      <c r="AH88" s="1">
        <v>43687</v>
      </c>
      <c r="AI88">
        <v>4</v>
      </c>
      <c r="AJ88">
        <v>19</v>
      </c>
      <c r="AK88">
        <v>0</v>
      </c>
      <c r="AL88">
        <v>26.3</v>
      </c>
      <c r="AM88" t="s">
        <v>500</v>
      </c>
      <c r="AN88">
        <v>7.3</v>
      </c>
      <c r="AO88" t="s">
        <v>521</v>
      </c>
      <c r="AP88">
        <v>5</v>
      </c>
    </row>
    <row r="89" spans="1:42" x14ac:dyDescent="0.2">
      <c r="A89" t="s">
        <v>225</v>
      </c>
      <c r="B89">
        <v>10263</v>
      </c>
      <c r="C89">
        <v>1</v>
      </c>
      <c r="D89">
        <v>1</v>
      </c>
      <c r="E89">
        <v>0</v>
      </c>
      <c r="F89">
        <v>1</v>
      </c>
      <c r="G89">
        <v>5</v>
      </c>
      <c r="H89">
        <v>3</v>
      </c>
      <c r="I89">
        <v>0</v>
      </c>
      <c r="J89" s="2">
        <v>71776</v>
      </c>
      <c r="K89">
        <v>0</v>
      </c>
      <c r="L89">
        <v>20</v>
      </c>
      <c r="M89" t="s">
        <v>66</v>
      </c>
      <c r="N89" t="s">
        <v>44</v>
      </c>
      <c r="O89">
        <v>1824</v>
      </c>
      <c r="P89" s="1">
        <v>33503</v>
      </c>
      <c r="Q89" t="s">
        <v>67</v>
      </c>
      <c r="R89" t="s">
        <v>58</v>
      </c>
      <c r="S89" t="s">
        <v>47</v>
      </c>
      <c r="T89" t="s">
        <v>48</v>
      </c>
      <c r="U89" t="s">
        <v>88</v>
      </c>
      <c r="V89" s="1">
        <v>44749</v>
      </c>
      <c r="W89" s="1" t="s">
        <v>492</v>
      </c>
      <c r="X89" t="s">
        <v>50</v>
      </c>
      <c r="Y89" t="s">
        <v>51</v>
      </c>
      <c r="Z89" t="s">
        <v>52</v>
      </c>
      <c r="AA89" t="s">
        <v>71</v>
      </c>
      <c r="AB89">
        <v>16</v>
      </c>
      <c r="AC89" t="s">
        <v>54</v>
      </c>
      <c r="AD89" t="s">
        <v>64</v>
      </c>
      <c r="AE89">
        <v>4.4000000000000004</v>
      </c>
      <c r="AF89">
        <v>5</v>
      </c>
      <c r="AG89">
        <v>0</v>
      </c>
      <c r="AH89" s="1">
        <v>46075</v>
      </c>
      <c r="AI89">
        <v>0</v>
      </c>
      <c r="AJ89">
        <v>17</v>
      </c>
      <c r="AK89">
        <v>1</v>
      </c>
      <c r="AL89">
        <v>34.799999999999997</v>
      </c>
      <c r="AM89" t="s">
        <v>500</v>
      </c>
      <c r="AN89">
        <v>4.0999999999999996</v>
      </c>
      <c r="AO89" t="s">
        <v>508</v>
      </c>
      <c r="AP89">
        <v>4</v>
      </c>
    </row>
    <row r="90" spans="1:42" x14ac:dyDescent="0.2">
      <c r="A90" t="s">
        <v>226</v>
      </c>
      <c r="B90">
        <v>10136</v>
      </c>
      <c r="C90">
        <v>0</v>
      </c>
      <c r="D90">
        <v>0</v>
      </c>
      <c r="E90">
        <v>0</v>
      </c>
      <c r="F90">
        <v>1</v>
      </c>
      <c r="G90">
        <v>5</v>
      </c>
      <c r="H90">
        <v>3</v>
      </c>
      <c r="I90">
        <v>0</v>
      </c>
      <c r="J90" s="2">
        <v>65902</v>
      </c>
      <c r="K90">
        <v>0</v>
      </c>
      <c r="L90">
        <v>20</v>
      </c>
      <c r="M90" t="s">
        <v>66</v>
      </c>
      <c r="N90" t="s">
        <v>44</v>
      </c>
      <c r="O90">
        <v>2324</v>
      </c>
      <c r="P90" s="1">
        <v>36796</v>
      </c>
      <c r="Q90" t="s">
        <v>67</v>
      </c>
      <c r="R90" t="s">
        <v>46</v>
      </c>
      <c r="S90" t="s">
        <v>47</v>
      </c>
      <c r="T90" t="s">
        <v>48</v>
      </c>
      <c r="U90" t="s">
        <v>88</v>
      </c>
      <c r="V90" s="1">
        <v>44609</v>
      </c>
      <c r="W90" s="1" t="s">
        <v>492</v>
      </c>
      <c r="X90" t="s">
        <v>50</v>
      </c>
      <c r="Y90" t="s">
        <v>51</v>
      </c>
      <c r="Z90" t="s">
        <v>52</v>
      </c>
      <c r="AA90" t="s">
        <v>75</v>
      </c>
      <c r="AC90" t="s">
        <v>54</v>
      </c>
      <c r="AD90" t="s">
        <v>64</v>
      </c>
      <c r="AE90">
        <v>4</v>
      </c>
      <c r="AF90">
        <v>4</v>
      </c>
      <c r="AG90">
        <v>0</v>
      </c>
      <c r="AH90" s="1">
        <v>46029</v>
      </c>
      <c r="AI90">
        <v>0</v>
      </c>
      <c r="AJ90">
        <v>7</v>
      </c>
      <c r="AK90">
        <v>1</v>
      </c>
      <c r="AL90">
        <v>25.8</v>
      </c>
      <c r="AM90" t="s">
        <v>500</v>
      </c>
      <c r="AN90">
        <v>4.5999999999999996</v>
      </c>
      <c r="AO90" t="s">
        <v>508</v>
      </c>
      <c r="AP90">
        <v>4</v>
      </c>
    </row>
    <row r="91" spans="1:42" x14ac:dyDescent="0.2">
      <c r="A91" t="s">
        <v>227</v>
      </c>
      <c r="B91">
        <v>10189</v>
      </c>
      <c r="C91">
        <v>1</v>
      </c>
      <c r="D91">
        <v>1</v>
      </c>
      <c r="E91">
        <v>0</v>
      </c>
      <c r="F91">
        <v>5</v>
      </c>
      <c r="G91">
        <v>5</v>
      </c>
      <c r="H91">
        <v>3</v>
      </c>
      <c r="I91">
        <v>0</v>
      </c>
      <c r="J91" s="2">
        <v>57748</v>
      </c>
      <c r="K91">
        <v>1</v>
      </c>
      <c r="L91">
        <v>19</v>
      </c>
      <c r="M91" t="s">
        <v>43</v>
      </c>
      <c r="N91" t="s">
        <v>44</v>
      </c>
      <c r="O91">
        <v>2176</v>
      </c>
      <c r="P91" s="1">
        <v>24942</v>
      </c>
      <c r="Q91" t="s">
        <v>67</v>
      </c>
      <c r="R91" t="s">
        <v>58</v>
      </c>
      <c r="S91" t="s">
        <v>47</v>
      </c>
      <c r="T91" t="s">
        <v>48</v>
      </c>
      <c r="U91" t="s">
        <v>49</v>
      </c>
      <c r="V91" s="1">
        <v>43776</v>
      </c>
      <c r="W91" s="1">
        <v>45429</v>
      </c>
      <c r="X91" t="s">
        <v>217</v>
      </c>
      <c r="Y91" t="s">
        <v>60</v>
      </c>
      <c r="Z91" t="s">
        <v>52</v>
      </c>
      <c r="AA91" t="s">
        <v>75</v>
      </c>
      <c r="AB91">
        <v>39</v>
      </c>
      <c r="AC91" t="s">
        <v>76</v>
      </c>
      <c r="AD91" t="s">
        <v>64</v>
      </c>
      <c r="AE91">
        <v>3.13</v>
      </c>
      <c r="AF91">
        <v>3</v>
      </c>
      <c r="AG91">
        <v>0</v>
      </c>
      <c r="AH91" s="1">
        <v>44961</v>
      </c>
      <c r="AI91">
        <v>0</v>
      </c>
      <c r="AJ91">
        <v>16</v>
      </c>
      <c r="AK91">
        <v>0</v>
      </c>
      <c r="AL91">
        <v>58.4</v>
      </c>
      <c r="AM91" t="s">
        <v>518</v>
      </c>
      <c r="AN91">
        <v>6.8</v>
      </c>
      <c r="AO91" t="s">
        <v>521</v>
      </c>
      <c r="AP91">
        <v>5</v>
      </c>
    </row>
    <row r="92" spans="1:42" x14ac:dyDescent="0.2">
      <c r="A92" t="s">
        <v>228</v>
      </c>
      <c r="B92">
        <v>10308</v>
      </c>
      <c r="C92">
        <v>1</v>
      </c>
      <c r="D92">
        <v>1</v>
      </c>
      <c r="E92">
        <v>1</v>
      </c>
      <c r="F92">
        <v>1</v>
      </c>
      <c r="G92">
        <v>5</v>
      </c>
      <c r="H92">
        <v>1</v>
      </c>
      <c r="I92">
        <v>0</v>
      </c>
      <c r="J92" s="2">
        <v>64057</v>
      </c>
      <c r="K92">
        <v>0</v>
      </c>
      <c r="L92">
        <v>19</v>
      </c>
      <c r="M92" t="s">
        <v>43</v>
      </c>
      <c r="N92" t="s">
        <v>44</v>
      </c>
      <c r="O92">
        <v>2132</v>
      </c>
      <c r="P92" s="1">
        <v>37547</v>
      </c>
      <c r="Q92" t="s">
        <v>45</v>
      </c>
      <c r="R92" t="s">
        <v>58</v>
      </c>
      <c r="S92" t="s">
        <v>47</v>
      </c>
      <c r="T92" t="s">
        <v>48</v>
      </c>
      <c r="U92" t="s">
        <v>49</v>
      </c>
      <c r="V92" s="1">
        <v>45057</v>
      </c>
      <c r="W92" s="1" t="s">
        <v>492</v>
      </c>
      <c r="X92" t="s">
        <v>50</v>
      </c>
      <c r="Y92" t="s">
        <v>51</v>
      </c>
      <c r="Z92" t="s">
        <v>52</v>
      </c>
      <c r="AA92" t="s">
        <v>78</v>
      </c>
      <c r="AB92">
        <v>11</v>
      </c>
      <c r="AC92" t="s">
        <v>63</v>
      </c>
      <c r="AD92" t="s">
        <v>196</v>
      </c>
      <c r="AE92">
        <v>1.56</v>
      </c>
      <c r="AF92">
        <v>5</v>
      </c>
      <c r="AG92">
        <v>0</v>
      </c>
      <c r="AH92" s="1">
        <v>46025</v>
      </c>
      <c r="AI92">
        <v>6</v>
      </c>
      <c r="AJ92">
        <v>15</v>
      </c>
      <c r="AK92">
        <v>1</v>
      </c>
      <c r="AL92">
        <v>23.8</v>
      </c>
      <c r="AM92" t="s">
        <v>499</v>
      </c>
      <c r="AN92">
        <v>3.3</v>
      </c>
      <c r="AO92" t="s">
        <v>508</v>
      </c>
      <c r="AP92">
        <v>4</v>
      </c>
    </row>
    <row r="93" spans="1:42" x14ac:dyDescent="0.2">
      <c r="A93" t="s">
        <v>229</v>
      </c>
      <c r="B93">
        <v>10309</v>
      </c>
      <c r="C93">
        <v>0</v>
      </c>
      <c r="D93">
        <v>0</v>
      </c>
      <c r="E93">
        <v>1</v>
      </c>
      <c r="F93">
        <v>1</v>
      </c>
      <c r="G93">
        <v>3</v>
      </c>
      <c r="H93">
        <v>1</v>
      </c>
      <c r="I93">
        <v>0</v>
      </c>
      <c r="J93" s="2">
        <v>53366</v>
      </c>
      <c r="K93">
        <v>0</v>
      </c>
      <c r="L93">
        <v>15</v>
      </c>
      <c r="M93" t="s">
        <v>230</v>
      </c>
      <c r="N93" t="s">
        <v>44</v>
      </c>
      <c r="O93">
        <v>2138</v>
      </c>
      <c r="P93" s="1">
        <v>36695</v>
      </c>
      <c r="Q93" t="s">
        <v>45</v>
      </c>
      <c r="R93" t="s">
        <v>46</v>
      </c>
      <c r="S93" t="s">
        <v>47</v>
      </c>
      <c r="T93" t="s">
        <v>48</v>
      </c>
      <c r="U93" t="s">
        <v>49</v>
      </c>
      <c r="V93" s="1">
        <v>45015</v>
      </c>
      <c r="W93" s="1" t="s">
        <v>492</v>
      </c>
      <c r="X93" t="s">
        <v>50</v>
      </c>
      <c r="Y93" t="s">
        <v>51</v>
      </c>
      <c r="Z93" t="s">
        <v>61</v>
      </c>
      <c r="AA93" t="s">
        <v>93</v>
      </c>
      <c r="AB93">
        <v>7</v>
      </c>
      <c r="AC93" t="s">
        <v>54</v>
      </c>
      <c r="AD93" t="s">
        <v>196</v>
      </c>
      <c r="AE93">
        <v>1.2</v>
      </c>
      <c r="AF93">
        <v>3</v>
      </c>
      <c r="AG93">
        <v>6</v>
      </c>
      <c r="AH93" s="1">
        <v>46057</v>
      </c>
      <c r="AI93">
        <v>3</v>
      </c>
      <c r="AJ93">
        <v>2</v>
      </c>
      <c r="AK93">
        <v>1</v>
      </c>
      <c r="AL93">
        <v>26.2</v>
      </c>
      <c r="AM93" t="s">
        <v>500</v>
      </c>
      <c r="AN93">
        <v>3.5</v>
      </c>
      <c r="AO93" t="s">
        <v>508</v>
      </c>
      <c r="AP93">
        <v>4</v>
      </c>
    </row>
    <row r="94" spans="1:42" x14ac:dyDescent="0.2">
      <c r="A94" t="s">
        <v>231</v>
      </c>
      <c r="B94">
        <v>10049</v>
      </c>
      <c r="C94">
        <v>1</v>
      </c>
      <c r="D94">
        <v>1</v>
      </c>
      <c r="E94">
        <v>0</v>
      </c>
      <c r="F94">
        <v>1</v>
      </c>
      <c r="G94">
        <v>5</v>
      </c>
      <c r="H94">
        <v>3</v>
      </c>
      <c r="I94">
        <v>0</v>
      </c>
      <c r="J94" s="2">
        <v>58530</v>
      </c>
      <c r="K94">
        <v>0</v>
      </c>
      <c r="L94">
        <v>19</v>
      </c>
      <c r="M94" t="s">
        <v>43</v>
      </c>
      <c r="N94" t="s">
        <v>44</v>
      </c>
      <c r="O94">
        <v>2155</v>
      </c>
      <c r="P94" s="1">
        <v>34409</v>
      </c>
      <c r="Q94" t="s">
        <v>67</v>
      </c>
      <c r="R94" t="s">
        <v>58</v>
      </c>
      <c r="S94" t="s">
        <v>47</v>
      </c>
      <c r="T94" t="s">
        <v>48</v>
      </c>
      <c r="U94" t="s">
        <v>49</v>
      </c>
      <c r="V94" s="1">
        <v>43839</v>
      </c>
      <c r="W94" s="1" t="s">
        <v>492</v>
      </c>
      <c r="X94" t="s">
        <v>50</v>
      </c>
      <c r="Y94" t="s">
        <v>51</v>
      </c>
      <c r="Z94" t="s">
        <v>52</v>
      </c>
      <c r="AA94" t="s">
        <v>89</v>
      </c>
      <c r="AB94">
        <v>12</v>
      </c>
      <c r="AC94" t="s">
        <v>76</v>
      </c>
      <c r="AD94" t="s">
        <v>64</v>
      </c>
      <c r="AE94">
        <v>5</v>
      </c>
      <c r="AF94">
        <v>5</v>
      </c>
      <c r="AG94">
        <v>0</v>
      </c>
      <c r="AH94" s="1">
        <v>46051</v>
      </c>
      <c r="AI94">
        <v>0</v>
      </c>
      <c r="AJ94">
        <v>19</v>
      </c>
      <c r="AK94">
        <v>1</v>
      </c>
      <c r="AL94">
        <v>32.5</v>
      </c>
      <c r="AM94" t="s">
        <v>500</v>
      </c>
      <c r="AN94">
        <v>6.7</v>
      </c>
      <c r="AO94" t="s">
        <v>521</v>
      </c>
      <c r="AP94">
        <v>5</v>
      </c>
    </row>
    <row r="95" spans="1:42" x14ac:dyDescent="0.2">
      <c r="A95" t="s">
        <v>232</v>
      </c>
      <c r="B95">
        <v>10093</v>
      </c>
      <c r="C95">
        <v>0</v>
      </c>
      <c r="D95">
        <v>0</v>
      </c>
      <c r="E95">
        <v>1</v>
      </c>
      <c r="F95">
        <v>5</v>
      </c>
      <c r="G95">
        <v>5</v>
      </c>
      <c r="H95">
        <v>3</v>
      </c>
      <c r="I95">
        <v>0</v>
      </c>
      <c r="J95" s="2">
        <v>72609</v>
      </c>
      <c r="K95">
        <v>1</v>
      </c>
      <c r="L95">
        <v>20</v>
      </c>
      <c r="M95" t="s">
        <v>66</v>
      </c>
      <c r="N95" t="s">
        <v>44</v>
      </c>
      <c r="O95">
        <v>2143</v>
      </c>
      <c r="P95" s="1">
        <v>34608</v>
      </c>
      <c r="Q95" t="s">
        <v>45</v>
      </c>
      <c r="R95" t="s">
        <v>46</v>
      </c>
      <c r="S95" t="s">
        <v>47</v>
      </c>
      <c r="T95" t="s">
        <v>95</v>
      </c>
      <c r="U95" t="s">
        <v>49</v>
      </c>
      <c r="V95" s="1">
        <v>43601</v>
      </c>
      <c r="W95" s="1">
        <v>44371</v>
      </c>
      <c r="X95" t="s">
        <v>68</v>
      </c>
      <c r="Y95" t="s">
        <v>60</v>
      </c>
      <c r="Z95" t="s">
        <v>52</v>
      </c>
      <c r="AA95" t="s">
        <v>78</v>
      </c>
      <c r="AB95">
        <v>11</v>
      </c>
      <c r="AC95" t="s">
        <v>76</v>
      </c>
      <c r="AD95" t="s">
        <v>64</v>
      </c>
      <c r="AE95">
        <v>4.76</v>
      </c>
      <c r="AF95">
        <v>5</v>
      </c>
      <c r="AG95">
        <v>0</v>
      </c>
      <c r="AH95" s="1">
        <v>43926</v>
      </c>
      <c r="AI95">
        <v>0</v>
      </c>
      <c r="AJ95">
        <v>20</v>
      </c>
      <c r="AK95">
        <v>0</v>
      </c>
      <c r="AL95">
        <v>31.8</v>
      </c>
      <c r="AM95" t="s">
        <v>500</v>
      </c>
      <c r="AN95">
        <v>7.3</v>
      </c>
      <c r="AO95" t="s">
        <v>521</v>
      </c>
      <c r="AP95">
        <v>5</v>
      </c>
    </row>
    <row r="96" spans="1:42" x14ac:dyDescent="0.2">
      <c r="A96" t="s">
        <v>233</v>
      </c>
      <c r="B96">
        <v>10163</v>
      </c>
      <c r="C96">
        <v>1</v>
      </c>
      <c r="D96">
        <v>1</v>
      </c>
      <c r="E96">
        <v>0</v>
      </c>
      <c r="F96">
        <v>5</v>
      </c>
      <c r="G96">
        <v>5</v>
      </c>
      <c r="H96">
        <v>3</v>
      </c>
      <c r="I96">
        <v>0</v>
      </c>
      <c r="J96" s="2">
        <v>55965</v>
      </c>
      <c r="K96">
        <v>1</v>
      </c>
      <c r="L96">
        <v>20</v>
      </c>
      <c r="M96" t="s">
        <v>66</v>
      </c>
      <c r="N96" t="s">
        <v>44</v>
      </c>
      <c r="O96">
        <v>2170</v>
      </c>
      <c r="P96" s="1">
        <v>35377</v>
      </c>
      <c r="Q96" t="s">
        <v>67</v>
      </c>
      <c r="R96" t="s">
        <v>58</v>
      </c>
      <c r="S96" t="s">
        <v>47</v>
      </c>
      <c r="T96" t="s">
        <v>48</v>
      </c>
      <c r="U96" t="s">
        <v>49</v>
      </c>
      <c r="V96" s="1">
        <v>43559</v>
      </c>
      <c r="W96" s="1">
        <v>44205</v>
      </c>
      <c r="X96" t="s">
        <v>59</v>
      </c>
      <c r="Y96" t="s">
        <v>60</v>
      </c>
      <c r="Z96" t="s">
        <v>52</v>
      </c>
      <c r="AA96" t="s">
        <v>85</v>
      </c>
      <c r="AB96">
        <v>19</v>
      </c>
      <c r="AC96" t="s">
        <v>76</v>
      </c>
      <c r="AD96" t="s">
        <v>64</v>
      </c>
      <c r="AE96">
        <v>3.66</v>
      </c>
      <c r="AF96">
        <v>3</v>
      </c>
      <c r="AG96">
        <v>0</v>
      </c>
      <c r="AH96" s="1">
        <v>43472</v>
      </c>
      <c r="AI96">
        <v>0</v>
      </c>
      <c r="AJ96">
        <v>6</v>
      </c>
      <c r="AK96">
        <v>0</v>
      </c>
      <c r="AL96">
        <v>29.8</v>
      </c>
      <c r="AM96" t="s">
        <v>500</v>
      </c>
      <c r="AN96">
        <v>7.4</v>
      </c>
      <c r="AO96" t="s">
        <v>521</v>
      </c>
      <c r="AP96">
        <v>5</v>
      </c>
    </row>
    <row r="97" spans="1:42" x14ac:dyDescent="0.2">
      <c r="A97" t="s">
        <v>234</v>
      </c>
      <c r="B97">
        <v>10305</v>
      </c>
      <c r="C97">
        <v>1</v>
      </c>
      <c r="D97">
        <v>1</v>
      </c>
      <c r="E97">
        <v>1</v>
      </c>
      <c r="F97">
        <v>1</v>
      </c>
      <c r="G97">
        <v>6</v>
      </c>
      <c r="H97">
        <v>3</v>
      </c>
      <c r="I97">
        <v>0</v>
      </c>
      <c r="J97" s="2">
        <v>70187</v>
      </c>
      <c r="K97">
        <v>1</v>
      </c>
      <c r="L97">
        <v>3</v>
      </c>
      <c r="M97" t="s">
        <v>145</v>
      </c>
      <c r="N97" t="s">
        <v>44</v>
      </c>
      <c r="O97">
        <v>2330</v>
      </c>
      <c r="P97" s="1">
        <v>32331</v>
      </c>
      <c r="Q97" t="s">
        <v>45</v>
      </c>
      <c r="R97" t="s">
        <v>58</v>
      </c>
      <c r="S97" t="s">
        <v>47</v>
      </c>
      <c r="T97" t="s">
        <v>48</v>
      </c>
      <c r="U97" t="s">
        <v>49</v>
      </c>
      <c r="V97" s="1">
        <v>44833</v>
      </c>
      <c r="W97" s="1">
        <v>46253</v>
      </c>
      <c r="X97" t="s">
        <v>235</v>
      </c>
      <c r="Y97" t="s">
        <v>110</v>
      </c>
      <c r="Z97" t="s">
        <v>5</v>
      </c>
      <c r="AA97" t="s">
        <v>165</v>
      </c>
      <c r="AB97">
        <v>21</v>
      </c>
      <c r="AC97" t="s">
        <v>86</v>
      </c>
      <c r="AD97" t="s">
        <v>196</v>
      </c>
      <c r="AE97">
        <v>2</v>
      </c>
      <c r="AF97">
        <v>5</v>
      </c>
      <c r="AG97">
        <v>0</v>
      </c>
      <c r="AH97" s="1">
        <v>46050</v>
      </c>
      <c r="AI97">
        <v>4</v>
      </c>
      <c r="AJ97">
        <v>7</v>
      </c>
      <c r="AK97">
        <v>1</v>
      </c>
      <c r="AL97">
        <v>38.1</v>
      </c>
      <c r="AM97" t="s">
        <v>501</v>
      </c>
      <c r="AN97">
        <v>3.8</v>
      </c>
      <c r="AO97" t="s">
        <v>508</v>
      </c>
      <c r="AP97">
        <v>4</v>
      </c>
    </row>
    <row r="98" spans="1:42" x14ac:dyDescent="0.2">
      <c r="A98" t="s">
        <v>236</v>
      </c>
      <c r="B98">
        <v>10015</v>
      </c>
      <c r="C98">
        <v>0</v>
      </c>
      <c r="D98">
        <v>0</v>
      </c>
      <c r="E98">
        <v>1</v>
      </c>
      <c r="F98">
        <v>1</v>
      </c>
      <c r="G98">
        <v>3</v>
      </c>
      <c r="H98">
        <v>4</v>
      </c>
      <c r="I98">
        <v>0</v>
      </c>
      <c r="J98" s="2">
        <v>178000</v>
      </c>
      <c r="K98">
        <v>0</v>
      </c>
      <c r="L98">
        <v>12</v>
      </c>
      <c r="M98" t="s">
        <v>237</v>
      </c>
      <c r="N98" t="s">
        <v>44</v>
      </c>
      <c r="O98">
        <v>1460</v>
      </c>
      <c r="P98" s="1">
        <v>34155</v>
      </c>
      <c r="Q98" t="s">
        <v>45</v>
      </c>
      <c r="R98" t="s">
        <v>46</v>
      </c>
      <c r="S98" t="s">
        <v>47</v>
      </c>
      <c r="T98" t="s">
        <v>48</v>
      </c>
      <c r="U98" t="s">
        <v>88</v>
      </c>
      <c r="V98" s="1">
        <v>43570</v>
      </c>
      <c r="W98" s="1" t="s">
        <v>492</v>
      </c>
      <c r="X98" t="s">
        <v>50</v>
      </c>
      <c r="Y98" t="s">
        <v>51</v>
      </c>
      <c r="Z98" t="s">
        <v>61</v>
      </c>
      <c r="AA98" t="s">
        <v>152</v>
      </c>
      <c r="AB98">
        <v>5</v>
      </c>
      <c r="AC98" t="s">
        <v>63</v>
      </c>
      <c r="AD98" t="s">
        <v>55</v>
      </c>
      <c r="AE98">
        <v>5</v>
      </c>
      <c r="AF98">
        <v>5</v>
      </c>
      <c r="AG98">
        <v>5</v>
      </c>
      <c r="AH98" s="1">
        <v>46029</v>
      </c>
      <c r="AI98">
        <v>0</v>
      </c>
      <c r="AJ98">
        <v>15</v>
      </c>
      <c r="AK98">
        <v>1</v>
      </c>
      <c r="AL98">
        <v>33.1</v>
      </c>
      <c r="AM98" t="s">
        <v>500</v>
      </c>
      <c r="AN98">
        <v>7.4</v>
      </c>
      <c r="AO98" t="s">
        <v>521</v>
      </c>
      <c r="AP98">
        <v>5</v>
      </c>
    </row>
    <row r="99" spans="1:42" x14ac:dyDescent="0.2">
      <c r="A99" t="s">
        <v>238</v>
      </c>
      <c r="B99">
        <v>10080</v>
      </c>
      <c r="C99">
        <v>1</v>
      </c>
      <c r="D99">
        <v>1</v>
      </c>
      <c r="E99">
        <v>0</v>
      </c>
      <c r="F99">
        <v>1</v>
      </c>
      <c r="G99">
        <v>1</v>
      </c>
      <c r="H99">
        <v>3</v>
      </c>
      <c r="I99">
        <v>0</v>
      </c>
      <c r="J99" s="2">
        <v>99351</v>
      </c>
      <c r="K99">
        <v>0</v>
      </c>
      <c r="L99">
        <v>26</v>
      </c>
      <c r="M99" t="s">
        <v>131</v>
      </c>
      <c r="N99" t="s">
        <v>44</v>
      </c>
      <c r="O99">
        <v>2050</v>
      </c>
      <c r="P99" s="1">
        <v>33710</v>
      </c>
      <c r="Q99" t="s">
        <v>67</v>
      </c>
      <c r="R99" t="s">
        <v>58</v>
      </c>
      <c r="S99" t="s">
        <v>47</v>
      </c>
      <c r="T99" t="s">
        <v>239</v>
      </c>
      <c r="U99" t="s">
        <v>49</v>
      </c>
      <c r="V99" s="1">
        <v>42740</v>
      </c>
      <c r="W99" s="1" t="s">
        <v>492</v>
      </c>
      <c r="X99" t="s">
        <v>50</v>
      </c>
      <c r="Y99" t="s">
        <v>51</v>
      </c>
      <c r="Z99" t="s">
        <v>132</v>
      </c>
      <c r="AA99" t="s">
        <v>240</v>
      </c>
      <c r="AB99">
        <v>9</v>
      </c>
      <c r="AC99" t="s">
        <v>6</v>
      </c>
      <c r="AD99" t="s">
        <v>64</v>
      </c>
      <c r="AE99">
        <v>5</v>
      </c>
      <c r="AF99">
        <v>3</v>
      </c>
      <c r="AG99">
        <v>2</v>
      </c>
      <c r="AH99" s="1">
        <v>46061</v>
      </c>
      <c r="AI99">
        <v>0</v>
      </c>
      <c r="AJ99">
        <v>3</v>
      </c>
      <c r="AK99">
        <v>1</v>
      </c>
      <c r="AL99">
        <v>34.4</v>
      </c>
      <c r="AM99" t="s">
        <v>500</v>
      </c>
      <c r="AN99">
        <v>9.6999999999999993</v>
      </c>
      <c r="AO99" t="s">
        <v>521</v>
      </c>
      <c r="AP99">
        <v>5</v>
      </c>
    </row>
    <row r="100" spans="1:42" x14ac:dyDescent="0.2">
      <c r="A100" t="s">
        <v>241</v>
      </c>
      <c r="B100">
        <v>10258</v>
      </c>
      <c r="C100">
        <v>0</v>
      </c>
      <c r="D100">
        <v>0</v>
      </c>
      <c r="E100">
        <v>1</v>
      </c>
      <c r="F100">
        <v>1</v>
      </c>
      <c r="G100">
        <v>6</v>
      </c>
      <c r="H100">
        <v>3</v>
      </c>
      <c r="I100">
        <v>0</v>
      </c>
      <c r="J100" s="2">
        <v>67251</v>
      </c>
      <c r="K100">
        <v>0</v>
      </c>
      <c r="L100">
        <v>3</v>
      </c>
      <c r="M100" t="s">
        <v>145</v>
      </c>
      <c r="N100" t="s">
        <v>128</v>
      </c>
      <c r="O100">
        <v>6050</v>
      </c>
      <c r="P100" s="1">
        <v>28000</v>
      </c>
      <c r="Q100" t="s">
        <v>45</v>
      </c>
      <c r="R100" t="s">
        <v>46</v>
      </c>
      <c r="S100" t="s">
        <v>47</v>
      </c>
      <c r="T100" t="s">
        <v>48</v>
      </c>
      <c r="U100" t="s">
        <v>88</v>
      </c>
      <c r="V100" s="1">
        <v>43714</v>
      </c>
      <c r="W100" s="1" t="s">
        <v>492</v>
      </c>
      <c r="X100" t="s">
        <v>50</v>
      </c>
      <c r="Y100" t="s">
        <v>51</v>
      </c>
      <c r="Z100" t="s">
        <v>5</v>
      </c>
      <c r="AA100" t="s">
        <v>165</v>
      </c>
      <c r="AB100">
        <v>21</v>
      </c>
      <c r="AC100" t="s">
        <v>123</v>
      </c>
      <c r="AD100" t="s">
        <v>64</v>
      </c>
      <c r="AE100">
        <v>4.3</v>
      </c>
      <c r="AF100">
        <v>3</v>
      </c>
      <c r="AG100">
        <v>0</v>
      </c>
      <c r="AH100" s="1">
        <v>46049</v>
      </c>
      <c r="AI100">
        <v>2</v>
      </c>
      <c r="AJ100">
        <v>7</v>
      </c>
      <c r="AK100">
        <v>1</v>
      </c>
      <c r="AL100">
        <v>50</v>
      </c>
      <c r="AM100" t="s">
        <v>502</v>
      </c>
      <c r="AN100">
        <v>6.8</v>
      </c>
      <c r="AO100" t="s">
        <v>521</v>
      </c>
      <c r="AP100">
        <v>5</v>
      </c>
    </row>
    <row r="101" spans="1:42" x14ac:dyDescent="0.2">
      <c r="A101" t="s">
        <v>242</v>
      </c>
      <c r="B101">
        <v>10273</v>
      </c>
      <c r="C101">
        <v>0</v>
      </c>
      <c r="D101">
        <v>0</v>
      </c>
      <c r="E101">
        <v>0</v>
      </c>
      <c r="F101">
        <v>1</v>
      </c>
      <c r="G101">
        <v>3</v>
      </c>
      <c r="H101">
        <v>3</v>
      </c>
      <c r="I101">
        <v>0</v>
      </c>
      <c r="J101" s="2">
        <v>65707</v>
      </c>
      <c r="K101">
        <v>0</v>
      </c>
      <c r="L101">
        <v>14</v>
      </c>
      <c r="M101" t="s">
        <v>92</v>
      </c>
      <c r="N101" t="s">
        <v>128</v>
      </c>
      <c r="O101">
        <v>6040</v>
      </c>
      <c r="P101" s="1">
        <v>29773</v>
      </c>
      <c r="Q101" t="s">
        <v>67</v>
      </c>
      <c r="R101" t="s">
        <v>46</v>
      </c>
      <c r="S101" t="s">
        <v>47</v>
      </c>
      <c r="T101" t="s">
        <v>48</v>
      </c>
      <c r="U101" t="s">
        <v>49</v>
      </c>
      <c r="V101" s="1">
        <v>43221</v>
      </c>
      <c r="W101" s="1" t="s">
        <v>492</v>
      </c>
      <c r="X101" t="s">
        <v>50</v>
      </c>
      <c r="Y101" t="s">
        <v>51</v>
      </c>
      <c r="Z101" t="s">
        <v>61</v>
      </c>
      <c r="AA101" t="s">
        <v>171</v>
      </c>
      <c r="AB101">
        <v>6</v>
      </c>
      <c r="AC101" t="s">
        <v>54</v>
      </c>
      <c r="AD101" t="s">
        <v>64</v>
      </c>
      <c r="AE101">
        <v>4.7</v>
      </c>
      <c r="AF101">
        <v>4</v>
      </c>
      <c r="AG101">
        <v>5</v>
      </c>
      <c r="AH101" s="1">
        <v>46054</v>
      </c>
      <c r="AI101">
        <v>0</v>
      </c>
      <c r="AJ101">
        <v>1</v>
      </c>
      <c r="AK101">
        <v>1</v>
      </c>
      <c r="AL101">
        <v>45.1</v>
      </c>
      <c r="AM101" t="s">
        <v>502</v>
      </c>
      <c r="AN101">
        <v>8.3000000000000007</v>
      </c>
      <c r="AO101" t="s">
        <v>521</v>
      </c>
      <c r="AP101">
        <v>5</v>
      </c>
    </row>
    <row r="102" spans="1:42" x14ac:dyDescent="0.2">
      <c r="A102" t="s">
        <v>243</v>
      </c>
      <c r="B102">
        <v>10111</v>
      </c>
      <c r="C102">
        <v>0</v>
      </c>
      <c r="D102">
        <v>0</v>
      </c>
      <c r="E102">
        <v>1</v>
      </c>
      <c r="F102">
        <v>1</v>
      </c>
      <c r="G102">
        <v>5</v>
      </c>
      <c r="H102">
        <v>3</v>
      </c>
      <c r="I102">
        <v>0</v>
      </c>
      <c r="J102" s="2">
        <v>52249</v>
      </c>
      <c r="K102">
        <v>0</v>
      </c>
      <c r="L102">
        <v>19</v>
      </c>
      <c r="M102" t="s">
        <v>43</v>
      </c>
      <c r="N102" t="s">
        <v>44</v>
      </c>
      <c r="O102">
        <v>1905</v>
      </c>
      <c r="P102" s="1">
        <v>36053</v>
      </c>
      <c r="Q102" t="s">
        <v>45</v>
      </c>
      <c r="R102" t="s">
        <v>46</v>
      </c>
      <c r="S102" t="s">
        <v>47</v>
      </c>
      <c r="T102" t="s">
        <v>95</v>
      </c>
      <c r="U102" t="s">
        <v>49</v>
      </c>
      <c r="V102" s="1">
        <v>45015</v>
      </c>
      <c r="W102" s="1" t="s">
        <v>492</v>
      </c>
      <c r="X102" t="s">
        <v>50</v>
      </c>
      <c r="Y102" t="s">
        <v>51</v>
      </c>
      <c r="Z102" t="s">
        <v>52</v>
      </c>
      <c r="AA102" t="s">
        <v>97</v>
      </c>
      <c r="AB102">
        <v>14</v>
      </c>
      <c r="AC102" t="s">
        <v>86</v>
      </c>
      <c r="AD102" t="s">
        <v>64</v>
      </c>
      <c r="AE102">
        <v>4.5</v>
      </c>
      <c r="AF102">
        <v>3</v>
      </c>
      <c r="AG102">
        <v>0</v>
      </c>
      <c r="AH102" s="1">
        <v>46071</v>
      </c>
      <c r="AI102">
        <v>0</v>
      </c>
      <c r="AJ102">
        <v>5</v>
      </c>
      <c r="AK102">
        <v>1</v>
      </c>
      <c r="AL102">
        <v>27.8</v>
      </c>
      <c r="AM102" t="s">
        <v>500</v>
      </c>
      <c r="AN102">
        <v>3.5</v>
      </c>
      <c r="AO102" t="s">
        <v>508</v>
      </c>
      <c r="AP102">
        <v>4</v>
      </c>
    </row>
    <row r="103" spans="1:42" x14ac:dyDescent="0.2">
      <c r="A103" t="s">
        <v>244</v>
      </c>
      <c r="B103">
        <v>10257</v>
      </c>
      <c r="C103">
        <v>0</v>
      </c>
      <c r="D103">
        <v>0</v>
      </c>
      <c r="E103">
        <v>0</v>
      </c>
      <c r="F103">
        <v>1</v>
      </c>
      <c r="G103">
        <v>5</v>
      </c>
      <c r="H103">
        <v>3</v>
      </c>
      <c r="I103">
        <v>0</v>
      </c>
      <c r="J103" s="2">
        <v>53171</v>
      </c>
      <c r="K103">
        <v>0</v>
      </c>
      <c r="L103">
        <v>19</v>
      </c>
      <c r="M103" t="s">
        <v>43</v>
      </c>
      <c r="N103" t="s">
        <v>44</v>
      </c>
      <c r="O103">
        <v>2121</v>
      </c>
      <c r="P103" s="1">
        <v>35401</v>
      </c>
      <c r="Q103" t="s">
        <v>67</v>
      </c>
      <c r="R103" t="s">
        <v>46</v>
      </c>
      <c r="S103" t="s">
        <v>47</v>
      </c>
      <c r="T103" t="s">
        <v>95</v>
      </c>
      <c r="U103" t="s">
        <v>88</v>
      </c>
      <c r="V103" s="1">
        <v>43601</v>
      </c>
      <c r="W103" s="1" t="s">
        <v>492</v>
      </c>
      <c r="X103" t="s">
        <v>50</v>
      </c>
      <c r="Y103" t="s">
        <v>51</v>
      </c>
      <c r="Z103" t="s">
        <v>52</v>
      </c>
      <c r="AA103" t="s">
        <v>105</v>
      </c>
      <c r="AB103">
        <v>18</v>
      </c>
      <c r="AC103" t="s">
        <v>54</v>
      </c>
      <c r="AD103" t="s">
        <v>64</v>
      </c>
      <c r="AE103">
        <v>4.2</v>
      </c>
      <c r="AF103">
        <v>4</v>
      </c>
      <c r="AG103">
        <v>0</v>
      </c>
      <c r="AH103" s="1">
        <v>46079</v>
      </c>
      <c r="AI103">
        <v>0</v>
      </c>
      <c r="AJ103">
        <v>12</v>
      </c>
      <c r="AK103">
        <v>1</v>
      </c>
      <c r="AL103">
        <v>29.8</v>
      </c>
      <c r="AM103" t="s">
        <v>500</v>
      </c>
      <c r="AN103">
        <v>7.3</v>
      </c>
      <c r="AO103" t="s">
        <v>521</v>
      </c>
      <c r="AP103">
        <v>5</v>
      </c>
    </row>
    <row r="104" spans="1:42" x14ac:dyDescent="0.2">
      <c r="A104" t="s">
        <v>245</v>
      </c>
      <c r="B104">
        <v>10159</v>
      </c>
      <c r="C104">
        <v>1</v>
      </c>
      <c r="D104">
        <v>1</v>
      </c>
      <c r="E104">
        <v>0</v>
      </c>
      <c r="F104">
        <v>1</v>
      </c>
      <c r="G104">
        <v>5</v>
      </c>
      <c r="H104">
        <v>3</v>
      </c>
      <c r="I104">
        <v>0</v>
      </c>
      <c r="J104" s="2">
        <v>51337</v>
      </c>
      <c r="K104">
        <v>0</v>
      </c>
      <c r="L104">
        <v>19</v>
      </c>
      <c r="M104" t="s">
        <v>43</v>
      </c>
      <c r="N104" t="s">
        <v>44</v>
      </c>
      <c r="O104">
        <v>2145</v>
      </c>
      <c r="P104" s="1">
        <v>37895</v>
      </c>
      <c r="Q104" t="s">
        <v>67</v>
      </c>
      <c r="R104" t="s">
        <v>58</v>
      </c>
      <c r="S104" t="s">
        <v>47</v>
      </c>
      <c r="T104" t="s">
        <v>48</v>
      </c>
      <c r="U104" t="s">
        <v>88</v>
      </c>
      <c r="V104" s="1">
        <v>45015</v>
      </c>
      <c r="W104" s="1" t="s">
        <v>492</v>
      </c>
      <c r="X104" t="s">
        <v>50</v>
      </c>
      <c r="Y104" t="s">
        <v>51</v>
      </c>
      <c r="Z104" t="s">
        <v>52</v>
      </c>
      <c r="AA104" t="s">
        <v>53</v>
      </c>
      <c r="AB104">
        <v>22</v>
      </c>
      <c r="AC104" t="s">
        <v>54</v>
      </c>
      <c r="AD104" t="s">
        <v>64</v>
      </c>
      <c r="AE104">
        <v>3.73</v>
      </c>
      <c r="AF104">
        <v>3</v>
      </c>
      <c r="AG104">
        <v>0</v>
      </c>
      <c r="AH104" s="1">
        <v>46038</v>
      </c>
      <c r="AI104">
        <v>0</v>
      </c>
      <c r="AJ104">
        <v>19</v>
      </c>
      <c r="AK104">
        <v>1</v>
      </c>
      <c r="AL104">
        <v>22.8</v>
      </c>
      <c r="AM104" t="s">
        <v>499</v>
      </c>
      <c r="AN104">
        <v>3.5</v>
      </c>
      <c r="AO104" t="s">
        <v>508</v>
      </c>
      <c r="AP104">
        <v>4</v>
      </c>
    </row>
    <row r="105" spans="1:42" x14ac:dyDescent="0.2">
      <c r="A105" t="s">
        <v>246</v>
      </c>
      <c r="B105">
        <v>10122</v>
      </c>
      <c r="C105">
        <v>0</v>
      </c>
      <c r="D105">
        <v>2</v>
      </c>
      <c r="E105">
        <v>0</v>
      </c>
      <c r="F105">
        <v>5</v>
      </c>
      <c r="G105">
        <v>5</v>
      </c>
      <c r="H105">
        <v>3</v>
      </c>
      <c r="I105">
        <v>1</v>
      </c>
      <c r="J105" s="2">
        <v>51505</v>
      </c>
      <c r="K105">
        <v>1</v>
      </c>
      <c r="L105">
        <v>19</v>
      </c>
      <c r="M105" t="s">
        <v>43</v>
      </c>
      <c r="N105" t="s">
        <v>44</v>
      </c>
      <c r="O105">
        <v>2330</v>
      </c>
      <c r="P105" s="1">
        <v>30451</v>
      </c>
      <c r="Q105" t="s">
        <v>67</v>
      </c>
      <c r="R105" t="s">
        <v>73</v>
      </c>
      <c r="S105" t="s">
        <v>47</v>
      </c>
      <c r="T105" t="s">
        <v>48</v>
      </c>
      <c r="U105" t="s">
        <v>88</v>
      </c>
      <c r="V105" s="1">
        <v>43776</v>
      </c>
      <c r="W105" s="1">
        <v>45611</v>
      </c>
      <c r="X105" t="s">
        <v>68</v>
      </c>
      <c r="Y105" t="s">
        <v>60</v>
      </c>
      <c r="Z105" t="s">
        <v>52</v>
      </c>
      <c r="AA105" t="s">
        <v>71</v>
      </c>
      <c r="AB105">
        <v>16</v>
      </c>
      <c r="AC105" t="s">
        <v>90</v>
      </c>
      <c r="AD105" t="s">
        <v>64</v>
      </c>
      <c r="AE105">
        <v>4.24</v>
      </c>
      <c r="AF105">
        <v>4</v>
      </c>
      <c r="AG105">
        <v>0</v>
      </c>
      <c r="AH105" s="1">
        <v>45045</v>
      </c>
      <c r="AI105">
        <v>0</v>
      </c>
      <c r="AJ105">
        <v>2</v>
      </c>
      <c r="AK105">
        <v>0</v>
      </c>
      <c r="AL105">
        <v>43.3</v>
      </c>
      <c r="AM105" t="s">
        <v>501</v>
      </c>
      <c r="AN105">
        <v>6.8</v>
      </c>
      <c r="AO105" t="s">
        <v>521</v>
      </c>
      <c r="AP105">
        <v>5</v>
      </c>
    </row>
    <row r="106" spans="1:42" x14ac:dyDescent="0.2">
      <c r="A106" t="s">
        <v>247</v>
      </c>
      <c r="B106">
        <v>10142</v>
      </c>
      <c r="C106">
        <v>0</v>
      </c>
      <c r="D106">
        <v>4</v>
      </c>
      <c r="E106">
        <v>0</v>
      </c>
      <c r="F106">
        <v>4</v>
      </c>
      <c r="G106">
        <v>6</v>
      </c>
      <c r="H106">
        <v>3</v>
      </c>
      <c r="I106">
        <v>0</v>
      </c>
      <c r="J106" s="2">
        <v>59370</v>
      </c>
      <c r="K106">
        <v>1</v>
      </c>
      <c r="L106">
        <v>3</v>
      </c>
      <c r="M106" t="s">
        <v>145</v>
      </c>
      <c r="N106" t="s">
        <v>248</v>
      </c>
      <c r="O106">
        <v>43050</v>
      </c>
      <c r="P106" s="1">
        <v>30873</v>
      </c>
      <c r="Q106" t="s">
        <v>67</v>
      </c>
      <c r="R106" t="s">
        <v>84</v>
      </c>
      <c r="S106" t="s">
        <v>47</v>
      </c>
      <c r="T106" t="s">
        <v>48</v>
      </c>
      <c r="U106" t="s">
        <v>88</v>
      </c>
      <c r="V106" s="1">
        <v>44749</v>
      </c>
      <c r="W106" s="1">
        <v>45174</v>
      </c>
      <c r="X106" t="s">
        <v>109</v>
      </c>
      <c r="Y106" t="s">
        <v>110</v>
      </c>
      <c r="Z106" t="s">
        <v>5</v>
      </c>
      <c r="AA106" t="s">
        <v>147</v>
      </c>
      <c r="AB106">
        <v>17</v>
      </c>
      <c r="AC106" t="s">
        <v>123</v>
      </c>
      <c r="AD106" t="s">
        <v>64</v>
      </c>
      <c r="AE106">
        <v>3.97</v>
      </c>
      <c r="AF106">
        <v>4</v>
      </c>
      <c r="AG106">
        <v>0</v>
      </c>
      <c r="AH106" s="1">
        <v>44211</v>
      </c>
      <c r="AI106">
        <v>0</v>
      </c>
      <c r="AJ106">
        <v>7</v>
      </c>
      <c r="AK106">
        <v>0</v>
      </c>
      <c r="AL106">
        <v>42.1</v>
      </c>
      <c r="AM106" t="s">
        <v>501</v>
      </c>
      <c r="AN106">
        <v>4.0999999999999996</v>
      </c>
      <c r="AO106" t="s">
        <v>508</v>
      </c>
      <c r="AP106">
        <v>4</v>
      </c>
    </row>
    <row r="107" spans="1:42" x14ac:dyDescent="0.2">
      <c r="A107" t="s">
        <v>249</v>
      </c>
      <c r="B107">
        <v>10283</v>
      </c>
      <c r="C107">
        <v>1</v>
      </c>
      <c r="D107">
        <v>1</v>
      </c>
      <c r="E107">
        <v>1</v>
      </c>
      <c r="F107">
        <v>5</v>
      </c>
      <c r="G107">
        <v>5</v>
      </c>
      <c r="H107">
        <v>2</v>
      </c>
      <c r="I107">
        <v>1</v>
      </c>
      <c r="J107" s="2">
        <v>54933</v>
      </c>
      <c r="K107">
        <v>1</v>
      </c>
      <c r="L107">
        <v>19</v>
      </c>
      <c r="M107" t="s">
        <v>43</v>
      </c>
      <c r="N107" t="s">
        <v>44</v>
      </c>
      <c r="O107">
        <v>2062</v>
      </c>
      <c r="P107" s="1">
        <v>31998</v>
      </c>
      <c r="Q107" t="s">
        <v>45</v>
      </c>
      <c r="R107" t="s">
        <v>58</v>
      </c>
      <c r="S107" t="s">
        <v>47</v>
      </c>
      <c r="T107" t="s">
        <v>48</v>
      </c>
      <c r="U107" t="s">
        <v>88</v>
      </c>
      <c r="V107" s="1">
        <v>43923</v>
      </c>
      <c r="W107" s="1">
        <v>45102</v>
      </c>
      <c r="X107" t="s">
        <v>217</v>
      </c>
      <c r="Y107" t="s">
        <v>60</v>
      </c>
      <c r="Z107" t="s">
        <v>52</v>
      </c>
      <c r="AA107" t="s">
        <v>75</v>
      </c>
      <c r="AB107">
        <v>39</v>
      </c>
      <c r="AC107" t="s">
        <v>90</v>
      </c>
      <c r="AD107" t="s">
        <v>124</v>
      </c>
      <c r="AE107">
        <v>3.97</v>
      </c>
      <c r="AF107">
        <v>4</v>
      </c>
      <c r="AG107">
        <v>0</v>
      </c>
      <c r="AH107" s="1">
        <v>44581</v>
      </c>
      <c r="AI107">
        <v>3</v>
      </c>
      <c r="AJ107">
        <v>15</v>
      </c>
      <c r="AK107">
        <v>0</v>
      </c>
      <c r="AL107">
        <v>39</v>
      </c>
      <c r="AM107" t="s">
        <v>501</v>
      </c>
      <c r="AN107">
        <v>6.4</v>
      </c>
      <c r="AO107" t="s">
        <v>521</v>
      </c>
      <c r="AP107">
        <v>5</v>
      </c>
    </row>
    <row r="108" spans="1:42" x14ac:dyDescent="0.2">
      <c r="A108" t="s">
        <v>250</v>
      </c>
      <c r="B108">
        <v>10018</v>
      </c>
      <c r="C108">
        <v>0</v>
      </c>
      <c r="D108">
        <v>0</v>
      </c>
      <c r="E108">
        <v>0</v>
      </c>
      <c r="F108">
        <v>1</v>
      </c>
      <c r="G108">
        <v>5</v>
      </c>
      <c r="H108">
        <v>4</v>
      </c>
      <c r="I108">
        <v>0</v>
      </c>
      <c r="J108" s="2">
        <v>57815</v>
      </c>
      <c r="K108">
        <v>0</v>
      </c>
      <c r="L108">
        <v>19</v>
      </c>
      <c r="M108" t="s">
        <v>43</v>
      </c>
      <c r="N108" t="s">
        <v>44</v>
      </c>
      <c r="O108">
        <v>2451</v>
      </c>
      <c r="P108" s="1">
        <v>34097</v>
      </c>
      <c r="Q108" t="s">
        <v>67</v>
      </c>
      <c r="R108" t="s">
        <v>46</v>
      </c>
      <c r="S108" t="s">
        <v>47</v>
      </c>
      <c r="T108" t="s">
        <v>95</v>
      </c>
      <c r="U108" t="s">
        <v>104</v>
      </c>
      <c r="V108" s="1">
        <v>44833</v>
      </c>
      <c r="W108" s="1" t="s">
        <v>492</v>
      </c>
      <c r="X108" t="s">
        <v>50</v>
      </c>
      <c r="Y108" t="s">
        <v>51</v>
      </c>
      <c r="Z108" t="s">
        <v>52</v>
      </c>
      <c r="AA108" t="s">
        <v>78</v>
      </c>
      <c r="AB108">
        <v>11</v>
      </c>
      <c r="AC108" t="s">
        <v>63</v>
      </c>
      <c r="AD108" t="s">
        <v>55</v>
      </c>
      <c r="AE108">
        <v>3.9</v>
      </c>
      <c r="AF108">
        <v>4</v>
      </c>
      <c r="AG108">
        <v>0</v>
      </c>
      <c r="AH108" s="1">
        <v>46060</v>
      </c>
      <c r="AI108">
        <v>0</v>
      </c>
      <c r="AJ108">
        <v>3</v>
      </c>
      <c r="AK108">
        <v>1</v>
      </c>
      <c r="AL108">
        <v>33.299999999999997</v>
      </c>
      <c r="AM108" t="s">
        <v>500</v>
      </c>
      <c r="AN108">
        <v>3.8</v>
      </c>
      <c r="AO108" t="s">
        <v>508</v>
      </c>
      <c r="AP108">
        <v>4</v>
      </c>
    </row>
    <row r="109" spans="1:42" x14ac:dyDescent="0.2">
      <c r="A109" t="s">
        <v>251</v>
      </c>
      <c r="B109">
        <v>10255</v>
      </c>
      <c r="C109">
        <v>0</v>
      </c>
      <c r="D109">
        <v>0</v>
      </c>
      <c r="E109">
        <v>0</v>
      </c>
      <c r="F109">
        <v>1</v>
      </c>
      <c r="G109">
        <v>6</v>
      </c>
      <c r="H109">
        <v>3</v>
      </c>
      <c r="I109">
        <v>0</v>
      </c>
      <c r="J109" s="2">
        <v>61555</v>
      </c>
      <c r="K109">
        <v>0</v>
      </c>
      <c r="L109">
        <v>3</v>
      </c>
      <c r="M109" t="s">
        <v>145</v>
      </c>
      <c r="N109" t="s">
        <v>252</v>
      </c>
      <c r="O109">
        <v>46204</v>
      </c>
      <c r="P109" s="1">
        <v>37521</v>
      </c>
      <c r="Q109" t="s">
        <v>67</v>
      </c>
      <c r="R109" t="s">
        <v>46</v>
      </c>
      <c r="S109" t="s">
        <v>47</v>
      </c>
      <c r="T109" t="s">
        <v>48</v>
      </c>
      <c r="U109" t="s">
        <v>49</v>
      </c>
      <c r="V109" s="1">
        <v>44973</v>
      </c>
      <c r="W109" s="1" t="s">
        <v>492</v>
      </c>
      <c r="X109" t="s">
        <v>50</v>
      </c>
      <c r="Y109" t="s">
        <v>51</v>
      </c>
      <c r="Z109" t="s">
        <v>5</v>
      </c>
      <c r="AA109" t="s">
        <v>165</v>
      </c>
      <c r="AB109">
        <v>21</v>
      </c>
      <c r="AC109" t="s">
        <v>63</v>
      </c>
      <c r="AD109" t="s">
        <v>64</v>
      </c>
      <c r="AE109">
        <v>4.5</v>
      </c>
      <c r="AF109">
        <v>5</v>
      </c>
      <c r="AG109">
        <v>0</v>
      </c>
      <c r="AH109" s="1">
        <v>46047</v>
      </c>
      <c r="AI109">
        <v>0</v>
      </c>
      <c r="AJ109">
        <v>20</v>
      </c>
      <c r="AK109">
        <v>1</v>
      </c>
      <c r="AL109">
        <v>23.8</v>
      </c>
      <c r="AM109" t="s">
        <v>499</v>
      </c>
      <c r="AN109">
        <v>3.6</v>
      </c>
      <c r="AO109" t="s">
        <v>508</v>
      </c>
      <c r="AP109">
        <v>4</v>
      </c>
    </row>
    <row r="110" spans="1:42" x14ac:dyDescent="0.2">
      <c r="A110" t="s">
        <v>253</v>
      </c>
      <c r="B110">
        <v>10246</v>
      </c>
      <c r="C110">
        <v>0</v>
      </c>
      <c r="D110">
        <v>0</v>
      </c>
      <c r="E110">
        <v>0</v>
      </c>
      <c r="F110">
        <v>4</v>
      </c>
      <c r="G110">
        <v>3</v>
      </c>
      <c r="H110">
        <v>3</v>
      </c>
      <c r="I110">
        <v>0</v>
      </c>
      <c r="J110" s="2">
        <v>114800</v>
      </c>
      <c r="K110">
        <v>1</v>
      </c>
      <c r="L110">
        <v>8</v>
      </c>
      <c r="M110" t="s">
        <v>115</v>
      </c>
      <c r="N110" t="s">
        <v>44</v>
      </c>
      <c r="O110">
        <v>2127</v>
      </c>
      <c r="P110" s="1">
        <v>30978</v>
      </c>
      <c r="Q110" t="s">
        <v>67</v>
      </c>
      <c r="R110" t="s">
        <v>46</v>
      </c>
      <c r="S110" t="s">
        <v>47</v>
      </c>
      <c r="T110" t="s">
        <v>48</v>
      </c>
      <c r="U110" t="s">
        <v>49</v>
      </c>
      <c r="V110" s="1">
        <v>44973</v>
      </c>
      <c r="W110" s="1">
        <v>45000</v>
      </c>
      <c r="X110" t="s">
        <v>223</v>
      </c>
      <c r="Y110" t="s">
        <v>110</v>
      </c>
      <c r="Z110" t="s">
        <v>61</v>
      </c>
      <c r="AA110" t="s">
        <v>62</v>
      </c>
      <c r="AB110">
        <v>4</v>
      </c>
      <c r="AC110" t="s">
        <v>63</v>
      </c>
      <c r="AD110" t="s">
        <v>64</v>
      </c>
      <c r="AE110">
        <v>4.5999999999999996</v>
      </c>
      <c r="AF110">
        <v>4</v>
      </c>
      <c r="AG110">
        <v>4</v>
      </c>
      <c r="AH110" s="1">
        <v>44581</v>
      </c>
      <c r="AI110">
        <v>0</v>
      </c>
      <c r="AJ110">
        <v>10</v>
      </c>
      <c r="AK110">
        <v>0</v>
      </c>
      <c r="AL110">
        <v>41.8</v>
      </c>
      <c r="AM110" t="s">
        <v>501</v>
      </c>
      <c r="AN110">
        <v>3.6</v>
      </c>
      <c r="AO110" t="s">
        <v>508</v>
      </c>
      <c r="AP110">
        <v>4</v>
      </c>
    </row>
    <row r="111" spans="1:42" x14ac:dyDescent="0.2">
      <c r="A111" t="s">
        <v>254</v>
      </c>
      <c r="B111">
        <v>10228</v>
      </c>
      <c r="C111">
        <v>1</v>
      </c>
      <c r="D111">
        <v>1</v>
      </c>
      <c r="E111">
        <v>1</v>
      </c>
      <c r="F111">
        <v>1</v>
      </c>
      <c r="G111">
        <v>3</v>
      </c>
      <c r="H111">
        <v>3</v>
      </c>
      <c r="I111">
        <v>0</v>
      </c>
      <c r="J111" s="2">
        <v>74679</v>
      </c>
      <c r="K111">
        <v>0</v>
      </c>
      <c r="L111">
        <v>14</v>
      </c>
      <c r="M111" t="s">
        <v>92</v>
      </c>
      <c r="N111" t="s">
        <v>44</v>
      </c>
      <c r="O111">
        <v>2135</v>
      </c>
      <c r="P111" s="1">
        <v>37584</v>
      </c>
      <c r="Q111" t="s">
        <v>45</v>
      </c>
      <c r="R111" t="s">
        <v>58</v>
      </c>
      <c r="S111" t="s">
        <v>47</v>
      </c>
      <c r="T111" t="s">
        <v>95</v>
      </c>
      <c r="U111" t="s">
        <v>49</v>
      </c>
      <c r="V111" s="1">
        <v>45015</v>
      </c>
      <c r="W111" s="1" t="s">
        <v>492</v>
      </c>
      <c r="X111" t="s">
        <v>50</v>
      </c>
      <c r="Y111" t="s">
        <v>51</v>
      </c>
      <c r="Z111" t="s">
        <v>61</v>
      </c>
      <c r="AA111" t="s">
        <v>93</v>
      </c>
      <c r="AB111">
        <v>7</v>
      </c>
      <c r="AC111" t="s">
        <v>54</v>
      </c>
      <c r="AD111" t="s">
        <v>64</v>
      </c>
      <c r="AE111">
        <v>4.3</v>
      </c>
      <c r="AF111">
        <v>5</v>
      </c>
      <c r="AG111">
        <v>7</v>
      </c>
      <c r="AH111" s="1">
        <v>46032</v>
      </c>
      <c r="AI111">
        <v>0</v>
      </c>
      <c r="AJ111">
        <v>20</v>
      </c>
      <c r="AK111">
        <v>1</v>
      </c>
      <c r="AL111">
        <v>23.8</v>
      </c>
      <c r="AM111" t="s">
        <v>499</v>
      </c>
      <c r="AN111">
        <v>3.5</v>
      </c>
      <c r="AO111" t="s">
        <v>508</v>
      </c>
      <c r="AP111">
        <v>4</v>
      </c>
    </row>
    <row r="112" spans="1:42" x14ac:dyDescent="0.2">
      <c r="A112" t="s">
        <v>255</v>
      </c>
      <c r="B112">
        <v>10243</v>
      </c>
      <c r="C112">
        <v>0</v>
      </c>
      <c r="D112">
        <v>0</v>
      </c>
      <c r="E112">
        <v>0</v>
      </c>
      <c r="F112">
        <v>1</v>
      </c>
      <c r="G112">
        <v>5</v>
      </c>
      <c r="H112">
        <v>3</v>
      </c>
      <c r="I112">
        <v>0</v>
      </c>
      <c r="J112" s="2">
        <v>53018</v>
      </c>
      <c r="K112">
        <v>0</v>
      </c>
      <c r="L112">
        <v>19</v>
      </c>
      <c r="M112" t="s">
        <v>43</v>
      </c>
      <c r="N112" t="s">
        <v>44</v>
      </c>
      <c r="O112">
        <v>2451</v>
      </c>
      <c r="P112" s="1">
        <v>38521</v>
      </c>
      <c r="Q112" t="s">
        <v>67</v>
      </c>
      <c r="R112" t="s">
        <v>46</v>
      </c>
      <c r="S112" t="s">
        <v>47</v>
      </c>
      <c r="T112" t="s">
        <v>95</v>
      </c>
      <c r="U112" t="s">
        <v>49</v>
      </c>
      <c r="V112" s="1">
        <v>44511</v>
      </c>
      <c r="W112" s="1" t="s">
        <v>492</v>
      </c>
      <c r="X112" t="s">
        <v>50</v>
      </c>
      <c r="Y112" t="s">
        <v>51</v>
      </c>
      <c r="Z112" t="s">
        <v>52</v>
      </c>
      <c r="AA112" t="s">
        <v>85</v>
      </c>
      <c r="AB112">
        <v>19</v>
      </c>
      <c r="AC112" t="s">
        <v>63</v>
      </c>
      <c r="AD112" t="s">
        <v>64</v>
      </c>
      <c r="AE112">
        <v>4.3</v>
      </c>
      <c r="AF112">
        <v>5</v>
      </c>
      <c r="AG112">
        <v>0</v>
      </c>
      <c r="AH112" s="1">
        <v>46071</v>
      </c>
      <c r="AI112">
        <v>0</v>
      </c>
      <c r="AJ112">
        <v>7</v>
      </c>
      <c r="AK112">
        <v>1</v>
      </c>
      <c r="AL112">
        <v>21.2</v>
      </c>
      <c r="AM112" t="s">
        <v>499</v>
      </c>
      <c r="AN112">
        <v>4.8</v>
      </c>
      <c r="AO112" t="s">
        <v>508</v>
      </c>
      <c r="AP112">
        <v>4</v>
      </c>
    </row>
    <row r="113" spans="1:42" x14ac:dyDescent="0.2">
      <c r="A113" t="s">
        <v>256</v>
      </c>
      <c r="B113">
        <v>10031</v>
      </c>
      <c r="C113">
        <v>0</v>
      </c>
      <c r="D113">
        <v>2</v>
      </c>
      <c r="E113">
        <v>1</v>
      </c>
      <c r="F113">
        <v>1</v>
      </c>
      <c r="G113">
        <v>5</v>
      </c>
      <c r="H113">
        <v>4</v>
      </c>
      <c r="I113">
        <v>1</v>
      </c>
      <c r="J113" s="2">
        <v>59892</v>
      </c>
      <c r="K113">
        <v>0</v>
      </c>
      <c r="L113">
        <v>19</v>
      </c>
      <c r="M113" t="s">
        <v>43</v>
      </c>
      <c r="N113" t="s">
        <v>44</v>
      </c>
      <c r="O113">
        <v>2108</v>
      </c>
      <c r="P113" s="1">
        <v>30223</v>
      </c>
      <c r="Q113" t="s">
        <v>45</v>
      </c>
      <c r="R113" t="s">
        <v>73</v>
      </c>
      <c r="S113" t="s">
        <v>47</v>
      </c>
      <c r="T113" t="s">
        <v>48</v>
      </c>
      <c r="U113" t="s">
        <v>88</v>
      </c>
      <c r="V113" s="1">
        <v>43657</v>
      </c>
      <c r="W113" s="1" t="s">
        <v>492</v>
      </c>
      <c r="X113" t="s">
        <v>50</v>
      </c>
      <c r="Y113" t="s">
        <v>51</v>
      </c>
      <c r="Z113" t="s">
        <v>52</v>
      </c>
      <c r="AA113" t="s">
        <v>89</v>
      </c>
      <c r="AB113">
        <v>12</v>
      </c>
      <c r="AC113" t="s">
        <v>90</v>
      </c>
      <c r="AD113" t="s">
        <v>55</v>
      </c>
      <c r="AE113">
        <v>4.5</v>
      </c>
      <c r="AF113">
        <v>4</v>
      </c>
      <c r="AG113">
        <v>0</v>
      </c>
      <c r="AH113" s="1">
        <v>46071</v>
      </c>
      <c r="AI113">
        <v>0</v>
      </c>
      <c r="AJ113">
        <v>1</v>
      </c>
      <c r="AK113">
        <v>1</v>
      </c>
      <c r="AL113">
        <v>43.8</v>
      </c>
      <c r="AM113" t="s">
        <v>501</v>
      </c>
      <c r="AN113">
        <v>7.1</v>
      </c>
      <c r="AO113" t="s">
        <v>521</v>
      </c>
      <c r="AP113">
        <v>5</v>
      </c>
    </row>
    <row r="114" spans="1:42" x14ac:dyDescent="0.2">
      <c r="A114" t="s">
        <v>257</v>
      </c>
      <c r="B114">
        <v>10300</v>
      </c>
      <c r="C114">
        <v>1</v>
      </c>
      <c r="D114">
        <v>1</v>
      </c>
      <c r="E114">
        <v>1</v>
      </c>
      <c r="F114">
        <v>5</v>
      </c>
      <c r="G114">
        <v>5</v>
      </c>
      <c r="H114">
        <v>1</v>
      </c>
      <c r="I114">
        <v>1</v>
      </c>
      <c r="J114" s="2">
        <v>68898</v>
      </c>
      <c r="K114">
        <v>1</v>
      </c>
      <c r="L114">
        <v>20</v>
      </c>
      <c r="M114" t="s">
        <v>66</v>
      </c>
      <c r="N114" t="s">
        <v>44</v>
      </c>
      <c r="O114">
        <v>2128</v>
      </c>
      <c r="P114" s="1">
        <v>28410</v>
      </c>
      <c r="Q114" t="s">
        <v>45</v>
      </c>
      <c r="R114" t="s">
        <v>58</v>
      </c>
      <c r="S114" t="s">
        <v>47</v>
      </c>
      <c r="T114" t="s">
        <v>48</v>
      </c>
      <c r="U114" t="s">
        <v>88</v>
      </c>
      <c r="V114" s="1">
        <v>43216</v>
      </c>
      <c r="W114" s="1">
        <v>43615</v>
      </c>
      <c r="X114" t="s">
        <v>59</v>
      </c>
      <c r="Y114" t="s">
        <v>60</v>
      </c>
      <c r="Z114" t="s">
        <v>52</v>
      </c>
      <c r="AA114" t="s">
        <v>89</v>
      </c>
      <c r="AB114">
        <v>12</v>
      </c>
      <c r="AC114" t="s">
        <v>90</v>
      </c>
      <c r="AD114" t="s">
        <v>196</v>
      </c>
      <c r="AE114">
        <v>3</v>
      </c>
      <c r="AF114">
        <v>3</v>
      </c>
      <c r="AG114">
        <v>0</v>
      </c>
      <c r="AH114" s="1">
        <v>43165</v>
      </c>
      <c r="AI114">
        <v>3</v>
      </c>
      <c r="AJ114">
        <v>10</v>
      </c>
      <c r="AK114">
        <v>0</v>
      </c>
      <c r="AL114">
        <v>48.8</v>
      </c>
      <c r="AM114" t="s">
        <v>502</v>
      </c>
      <c r="AN114">
        <v>8.4</v>
      </c>
      <c r="AO114" t="s">
        <v>521</v>
      </c>
      <c r="AP114">
        <v>5</v>
      </c>
    </row>
    <row r="115" spans="1:42" x14ac:dyDescent="0.2">
      <c r="A115" t="s">
        <v>258</v>
      </c>
      <c r="B115">
        <v>10101</v>
      </c>
      <c r="C115">
        <v>0</v>
      </c>
      <c r="D115">
        <v>3</v>
      </c>
      <c r="E115">
        <v>0</v>
      </c>
      <c r="F115">
        <v>1</v>
      </c>
      <c r="G115">
        <v>3</v>
      </c>
      <c r="H115">
        <v>3</v>
      </c>
      <c r="I115">
        <v>0</v>
      </c>
      <c r="J115" s="2">
        <v>61242</v>
      </c>
      <c r="K115">
        <v>0</v>
      </c>
      <c r="L115">
        <v>14</v>
      </c>
      <c r="M115" t="s">
        <v>92</v>
      </c>
      <c r="N115" t="s">
        <v>44</v>
      </c>
      <c r="O115">
        <v>2472</v>
      </c>
      <c r="P115" s="1">
        <v>34440</v>
      </c>
      <c r="Q115" t="s">
        <v>67</v>
      </c>
      <c r="R115" t="s">
        <v>143</v>
      </c>
      <c r="S115" t="s">
        <v>47</v>
      </c>
      <c r="T115" t="s">
        <v>95</v>
      </c>
      <c r="U115" t="s">
        <v>49</v>
      </c>
      <c r="V115" s="1">
        <v>44931</v>
      </c>
      <c r="W115" s="1" t="s">
        <v>492</v>
      </c>
      <c r="X115" t="s">
        <v>50</v>
      </c>
      <c r="Y115" t="s">
        <v>51</v>
      </c>
      <c r="Z115" t="s">
        <v>61</v>
      </c>
      <c r="AA115" t="s">
        <v>93</v>
      </c>
      <c r="AB115">
        <v>7</v>
      </c>
      <c r="AC115" t="s">
        <v>86</v>
      </c>
      <c r="AD115" t="s">
        <v>64</v>
      </c>
      <c r="AE115">
        <v>4.6100000000000003</v>
      </c>
      <c r="AF115">
        <v>4</v>
      </c>
      <c r="AG115">
        <v>5</v>
      </c>
      <c r="AH115" s="1">
        <v>46050</v>
      </c>
      <c r="AI115">
        <v>0</v>
      </c>
      <c r="AJ115">
        <v>11</v>
      </c>
      <c r="AK115">
        <v>1</v>
      </c>
      <c r="AL115">
        <v>32.4</v>
      </c>
      <c r="AM115" t="s">
        <v>500</v>
      </c>
      <c r="AN115">
        <v>3.7</v>
      </c>
      <c r="AO115" t="s">
        <v>508</v>
      </c>
      <c r="AP115">
        <v>4</v>
      </c>
    </row>
    <row r="116" spans="1:42" x14ac:dyDescent="0.2">
      <c r="A116" t="s">
        <v>259</v>
      </c>
      <c r="B116">
        <v>10237</v>
      </c>
      <c r="C116">
        <v>1</v>
      </c>
      <c r="D116">
        <v>1</v>
      </c>
      <c r="E116">
        <v>0</v>
      </c>
      <c r="F116">
        <v>3</v>
      </c>
      <c r="G116">
        <v>5</v>
      </c>
      <c r="H116">
        <v>3</v>
      </c>
      <c r="I116">
        <v>0</v>
      </c>
      <c r="J116" s="2">
        <v>66825</v>
      </c>
      <c r="K116">
        <v>0</v>
      </c>
      <c r="L116">
        <v>20</v>
      </c>
      <c r="M116" t="s">
        <v>66</v>
      </c>
      <c r="N116" t="s">
        <v>44</v>
      </c>
      <c r="O116">
        <v>1886</v>
      </c>
      <c r="P116" s="1">
        <v>36305</v>
      </c>
      <c r="Q116" t="s">
        <v>67</v>
      </c>
      <c r="R116" t="s">
        <v>58</v>
      </c>
      <c r="S116" t="s">
        <v>47</v>
      </c>
      <c r="T116" t="s">
        <v>48</v>
      </c>
      <c r="U116" t="s">
        <v>49</v>
      </c>
      <c r="V116" s="1">
        <v>44693</v>
      </c>
      <c r="W116" s="1" t="s">
        <v>492</v>
      </c>
      <c r="X116" t="s">
        <v>50</v>
      </c>
      <c r="Y116" t="s">
        <v>51</v>
      </c>
      <c r="Z116" t="s">
        <v>52</v>
      </c>
      <c r="AA116" t="s">
        <v>97</v>
      </c>
      <c r="AB116">
        <v>14</v>
      </c>
      <c r="AC116" t="s">
        <v>54</v>
      </c>
      <c r="AD116" t="s">
        <v>64</v>
      </c>
      <c r="AE116">
        <v>4.5999999999999996</v>
      </c>
      <c r="AF116">
        <v>3</v>
      </c>
      <c r="AG116">
        <v>0</v>
      </c>
      <c r="AH116" s="1">
        <v>46060</v>
      </c>
      <c r="AI116">
        <v>0</v>
      </c>
      <c r="AJ116">
        <v>20</v>
      </c>
      <c r="AK116">
        <v>1</v>
      </c>
      <c r="AL116">
        <v>27.3</v>
      </c>
      <c r="AM116" t="s">
        <v>500</v>
      </c>
      <c r="AN116">
        <v>4.3</v>
      </c>
      <c r="AO116" t="s">
        <v>508</v>
      </c>
      <c r="AP116">
        <v>4</v>
      </c>
    </row>
    <row r="117" spans="1:42" x14ac:dyDescent="0.2">
      <c r="A117" t="s">
        <v>260</v>
      </c>
      <c r="B117">
        <v>10051</v>
      </c>
      <c r="C117">
        <v>1</v>
      </c>
      <c r="D117">
        <v>1</v>
      </c>
      <c r="E117">
        <v>1</v>
      </c>
      <c r="F117">
        <v>1</v>
      </c>
      <c r="G117">
        <v>5</v>
      </c>
      <c r="H117">
        <v>3</v>
      </c>
      <c r="I117">
        <v>0</v>
      </c>
      <c r="J117" s="2">
        <v>48285</v>
      </c>
      <c r="K117">
        <v>0</v>
      </c>
      <c r="L117">
        <v>19</v>
      </c>
      <c r="M117" t="s">
        <v>43</v>
      </c>
      <c r="N117" t="s">
        <v>44</v>
      </c>
      <c r="O117">
        <v>2169</v>
      </c>
      <c r="P117" s="1">
        <v>33745</v>
      </c>
      <c r="Q117" t="s">
        <v>45</v>
      </c>
      <c r="R117" t="s">
        <v>58</v>
      </c>
      <c r="S117" t="s">
        <v>47</v>
      </c>
      <c r="T117" t="s">
        <v>48</v>
      </c>
      <c r="U117" t="s">
        <v>49</v>
      </c>
      <c r="V117" s="1">
        <v>44014</v>
      </c>
      <c r="W117" s="1" t="s">
        <v>492</v>
      </c>
      <c r="X117" t="s">
        <v>50</v>
      </c>
      <c r="Y117" t="s">
        <v>51</v>
      </c>
      <c r="Z117" t="s">
        <v>52</v>
      </c>
      <c r="AA117" t="s">
        <v>97</v>
      </c>
      <c r="AB117">
        <v>14</v>
      </c>
      <c r="AC117" t="s">
        <v>54</v>
      </c>
      <c r="AD117" t="s">
        <v>64</v>
      </c>
      <c r="AE117">
        <v>5</v>
      </c>
      <c r="AF117">
        <v>3</v>
      </c>
      <c r="AG117">
        <v>0</v>
      </c>
      <c r="AH117" s="1">
        <v>46036</v>
      </c>
      <c r="AI117">
        <v>0</v>
      </c>
      <c r="AJ117">
        <v>2</v>
      </c>
      <c r="AK117">
        <v>1</v>
      </c>
      <c r="AL117">
        <v>34.299999999999997</v>
      </c>
      <c r="AM117" t="s">
        <v>500</v>
      </c>
      <c r="AN117">
        <v>6.1</v>
      </c>
      <c r="AO117" t="s">
        <v>521</v>
      </c>
      <c r="AP117">
        <v>5</v>
      </c>
    </row>
    <row r="118" spans="1:42" x14ac:dyDescent="0.2">
      <c r="A118" t="s">
        <v>261</v>
      </c>
      <c r="B118">
        <v>10218</v>
      </c>
      <c r="C118">
        <v>0</v>
      </c>
      <c r="D118">
        <v>3</v>
      </c>
      <c r="E118">
        <v>0</v>
      </c>
      <c r="F118">
        <v>3</v>
      </c>
      <c r="G118">
        <v>5</v>
      </c>
      <c r="H118">
        <v>3</v>
      </c>
      <c r="I118">
        <v>0</v>
      </c>
      <c r="J118" s="2">
        <v>66149</v>
      </c>
      <c r="K118">
        <v>0</v>
      </c>
      <c r="L118">
        <v>20</v>
      </c>
      <c r="M118" t="s">
        <v>66</v>
      </c>
      <c r="N118" t="s">
        <v>44</v>
      </c>
      <c r="O118">
        <v>1824</v>
      </c>
      <c r="P118" s="1">
        <v>35407</v>
      </c>
      <c r="Q118" t="s">
        <v>67</v>
      </c>
      <c r="R118" t="s">
        <v>143</v>
      </c>
      <c r="S118" t="s">
        <v>47</v>
      </c>
      <c r="T118" t="s">
        <v>48</v>
      </c>
      <c r="U118" t="s">
        <v>262</v>
      </c>
      <c r="V118" s="1">
        <v>44469</v>
      </c>
      <c r="W118" s="1" t="s">
        <v>492</v>
      </c>
      <c r="X118" t="s">
        <v>50</v>
      </c>
      <c r="Y118" t="s">
        <v>51</v>
      </c>
      <c r="Z118" t="s">
        <v>52</v>
      </c>
      <c r="AA118" t="s">
        <v>69</v>
      </c>
      <c r="AB118">
        <v>20</v>
      </c>
      <c r="AC118" t="s">
        <v>76</v>
      </c>
      <c r="AD118" t="s">
        <v>64</v>
      </c>
      <c r="AE118">
        <v>4.4000000000000004</v>
      </c>
      <c r="AF118">
        <v>5</v>
      </c>
      <c r="AG118">
        <v>0</v>
      </c>
      <c r="AH118" s="1">
        <v>46074</v>
      </c>
      <c r="AI118">
        <v>0</v>
      </c>
      <c r="AJ118">
        <v>1</v>
      </c>
      <c r="AK118">
        <v>1</v>
      </c>
      <c r="AL118">
        <v>29.8</v>
      </c>
      <c r="AM118" t="s">
        <v>500</v>
      </c>
      <c r="AN118">
        <v>4.8</v>
      </c>
      <c r="AO118" t="s">
        <v>508</v>
      </c>
      <c r="AP118">
        <v>4</v>
      </c>
    </row>
    <row r="119" spans="1:42" x14ac:dyDescent="0.2">
      <c r="A119" t="s">
        <v>263</v>
      </c>
      <c r="B119">
        <v>10256</v>
      </c>
      <c r="C119">
        <v>1</v>
      </c>
      <c r="D119">
        <v>1</v>
      </c>
      <c r="E119">
        <v>0</v>
      </c>
      <c r="F119">
        <v>3</v>
      </c>
      <c r="G119">
        <v>5</v>
      </c>
      <c r="H119">
        <v>3</v>
      </c>
      <c r="I119">
        <v>0</v>
      </c>
      <c r="J119" s="2">
        <v>49256</v>
      </c>
      <c r="K119">
        <v>0</v>
      </c>
      <c r="L119">
        <v>19</v>
      </c>
      <c r="M119" t="s">
        <v>43</v>
      </c>
      <c r="N119" t="s">
        <v>44</v>
      </c>
      <c r="O119">
        <v>1864</v>
      </c>
      <c r="P119" s="1">
        <v>32059</v>
      </c>
      <c r="Q119" t="s">
        <v>67</v>
      </c>
      <c r="R119" t="s">
        <v>58</v>
      </c>
      <c r="S119" t="s">
        <v>47</v>
      </c>
      <c r="T119" t="s">
        <v>48</v>
      </c>
      <c r="U119" t="s">
        <v>118</v>
      </c>
      <c r="V119" s="1">
        <v>44427</v>
      </c>
      <c r="W119" s="1" t="s">
        <v>492</v>
      </c>
      <c r="X119" t="s">
        <v>50</v>
      </c>
      <c r="Y119" t="s">
        <v>51</v>
      </c>
      <c r="Z119" t="s">
        <v>52</v>
      </c>
      <c r="AA119" t="s">
        <v>69</v>
      </c>
      <c r="AB119">
        <v>20</v>
      </c>
      <c r="AC119" t="s">
        <v>54</v>
      </c>
      <c r="AD119" t="s">
        <v>64</v>
      </c>
      <c r="AE119">
        <v>4.0999999999999996</v>
      </c>
      <c r="AF119">
        <v>5</v>
      </c>
      <c r="AG119">
        <v>0</v>
      </c>
      <c r="AH119" s="1">
        <v>46068</v>
      </c>
      <c r="AI119">
        <v>0</v>
      </c>
      <c r="AJ119">
        <v>3</v>
      </c>
      <c r="AK119">
        <v>1</v>
      </c>
      <c r="AL119">
        <v>38.799999999999997</v>
      </c>
      <c r="AM119" t="s">
        <v>501</v>
      </c>
      <c r="AN119">
        <v>5</v>
      </c>
      <c r="AO119" t="s">
        <v>508</v>
      </c>
      <c r="AP119">
        <v>4</v>
      </c>
    </row>
    <row r="120" spans="1:42" x14ac:dyDescent="0.2">
      <c r="A120" t="s">
        <v>264</v>
      </c>
      <c r="B120">
        <v>10098</v>
      </c>
      <c r="C120">
        <v>0</v>
      </c>
      <c r="D120">
        <v>2</v>
      </c>
      <c r="E120">
        <v>1</v>
      </c>
      <c r="F120">
        <v>1</v>
      </c>
      <c r="G120">
        <v>5</v>
      </c>
      <c r="H120">
        <v>3</v>
      </c>
      <c r="I120">
        <v>0</v>
      </c>
      <c r="J120" s="2">
        <v>62957</v>
      </c>
      <c r="K120">
        <v>0</v>
      </c>
      <c r="L120">
        <v>18</v>
      </c>
      <c r="M120" t="s">
        <v>135</v>
      </c>
      <c r="N120" t="s">
        <v>44</v>
      </c>
      <c r="O120">
        <v>1752</v>
      </c>
      <c r="P120" s="1">
        <v>34526</v>
      </c>
      <c r="Q120" t="s">
        <v>45</v>
      </c>
      <c r="R120" t="s">
        <v>73</v>
      </c>
      <c r="S120" t="s">
        <v>47</v>
      </c>
      <c r="T120" t="s">
        <v>48</v>
      </c>
      <c r="U120" t="s">
        <v>49</v>
      </c>
      <c r="V120" s="1">
        <v>45079</v>
      </c>
      <c r="W120" s="1" t="s">
        <v>492</v>
      </c>
      <c r="X120" t="s">
        <v>50</v>
      </c>
      <c r="Y120" t="s">
        <v>51</v>
      </c>
      <c r="Z120" t="s">
        <v>52</v>
      </c>
      <c r="AA120" t="s">
        <v>137</v>
      </c>
      <c r="AB120">
        <v>2</v>
      </c>
      <c r="AC120" t="s">
        <v>86</v>
      </c>
      <c r="AD120" t="s">
        <v>64</v>
      </c>
      <c r="AE120">
        <v>4.63</v>
      </c>
      <c r="AF120">
        <v>3</v>
      </c>
      <c r="AG120">
        <v>0</v>
      </c>
      <c r="AH120" s="1">
        <v>46026</v>
      </c>
      <c r="AI120">
        <v>0</v>
      </c>
      <c r="AJ120">
        <v>2</v>
      </c>
      <c r="AK120">
        <v>1</v>
      </c>
      <c r="AL120">
        <v>32.1</v>
      </c>
      <c r="AM120" t="s">
        <v>500</v>
      </c>
      <c r="AN120">
        <v>3.2</v>
      </c>
      <c r="AO120" t="s">
        <v>508</v>
      </c>
      <c r="AP120">
        <v>4</v>
      </c>
    </row>
    <row r="121" spans="1:42" x14ac:dyDescent="0.2">
      <c r="A121" t="s">
        <v>265</v>
      </c>
      <c r="B121">
        <v>10059</v>
      </c>
      <c r="C121">
        <v>0</v>
      </c>
      <c r="D121">
        <v>2</v>
      </c>
      <c r="E121">
        <v>0</v>
      </c>
      <c r="F121">
        <v>5</v>
      </c>
      <c r="G121">
        <v>5</v>
      </c>
      <c r="H121">
        <v>3</v>
      </c>
      <c r="I121">
        <v>0</v>
      </c>
      <c r="J121" s="2">
        <v>63813</v>
      </c>
      <c r="K121">
        <v>1</v>
      </c>
      <c r="L121">
        <v>19</v>
      </c>
      <c r="M121" t="s">
        <v>43</v>
      </c>
      <c r="N121" t="s">
        <v>44</v>
      </c>
      <c r="O121">
        <v>2176</v>
      </c>
      <c r="P121" s="1">
        <v>35206</v>
      </c>
      <c r="Q121" t="s">
        <v>67</v>
      </c>
      <c r="R121" t="s">
        <v>73</v>
      </c>
      <c r="S121" t="s">
        <v>47</v>
      </c>
      <c r="T121" t="s">
        <v>48</v>
      </c>
      <c r="U121" t="s">
        <v>49</v>
      </c>
      <c r="V121" s="1">
        <v>43517</v>
      </c>
      <c r="W121" s="1">
        <v>44572</v>
      </c>
      <c r="X121" t="s">
        <v>198</v>
      </c>
      <c r="Y121" t="s">
        <v>60</v>
      </c>
      <c r="Z121" t="s">
        <v>52</v>
      </c>
      <c r="AA121" t="s">
        <v>105</v>
      </c>
      <c r="AB121">
        <v>18</v>
      </c>
      <c r="AC121" t="s">
        <v>123</v>
      </c>
      <c r="AD121" t="s">
        <v>64</v>
      </c>
      <c r="AE121">
        <v>5</v>
      </c>
      <c r="AF121">
        <v>5</v>
      </c>
      <c r="AG121">
        <v>0</v>
      </c>
      <c r="AH121" s="1">
        <v>43985</v>
      </c>
      <c r="AI121">
        <v>0</v>
      </c>
      <c r="AJ121">
        <v>17</v>
      </c>
      <c r="AK121">
        <v>0</v>
      </c>
      <c r="AL121">
        <v>30.3</v>
      </c>
      <c r="AM121" t="s">
        <v>500</v>
      </c>
      <c r="AN121">
        <v>7.6</v>
      </c>
      <c r="AO121" t="s">
        <v>521</v>
      </c>
      <c r="AP121">
        <v>5</v>
      </c>
    </row>
    <row r="122" spans="1:42" x14ac:dyDescent="0.2">
      <c r="A122" t="s">
        <v>266</v>
      </c>
      <c r="B122">
        <v>10234</v>
      </c>
      <c r="C122">
        <v>1</v>
      </c>
      <c r="D122">
        <v>1</v>
      </c>
      <c r="E122">
        <v>1</v>
      </c>
      <c r="F122">
        <v>1</v>
      </c>
      <c r="G122">
        <v>3</v>
      </c>
      <c r="H122">
        <v>3</v>
      </c>
      <c r="I122">
        <v>0</v>
      </c>
      <c r="J122" s="2">
        <v>99020</v>
      </c>
      <c r="K122">
        <v>0</v>
      </c>
      <c r="L122">
        <v>4</v>
      </c>
      <c r="M122" t="s">
        <v>201</v>
      </c>
      <c r="N122" t="s">
        <v>44</v>
      </c>
      <c r="O122">
        <v>2134</v>
      </c>
      <c r="P122" s="1">
        <v>37437</v>
      </c>
      <c r="Q122" t="s">
        <v>45</v>
      </c>
      <c r="R122" t="s">
        <v>58</v>
      </c>
      <c r="S122" t="s">
        <v>47</v>
      </c>
      <c r="T122" t="s">
        <v>48</v>
      </c>
      <c r="U122" t="s">
        <v>88</v>
      </c>
      <c r="V122" s="1">
        <v>45767</v>
      </c>
      <c r="W122" s="1" t="s">
        <v>492</v>
      </c>
      <c r="X122" t="s">
        <v>50</v>
      </c>
      <c r="Y122" t="s">
        <v>51</v>
      </c>
      <c r="Z122" t="s">
        <v>61</v>
      </c>
      <c r="AA122" t="s">
        <v>202</v>
      </c>
      <c r="AB122">
        <v>13</v>
      </c>
      <c r="AC122" t="s">
        <v>63</v>
      </c>
      <c r="AD122" t="s">
        <v>64</v>
      </c>
      <c r="AE122">
        <v>4.2</v>
      </c>
      <c r="AF122">
        <v>5</v>
      </c>
      <c r="AG122">
        <v>5</v>
      </c>
      <c r="AH122" s="1">
        <v>46050</v>
      </c>
      <c r="AI122">
        <v>0</v>
      </c>
      <c r="AJ122">
        <v>8</v>
      </c>
      <c r="AK122">
        <v>1</v>
      </c>
      <c r="AL122">
        <v>24.2</v>
      </c>
      <c r="AM122" t="s">
        <v>499</v>
      </c>
      <c r="AN122">
        <v>1.4</v>
      </c>
      <c r="AO122" t="s">
        <v>506</v>
      </c>
      <c r="AP122">
        <v>2</v>
      </c>
    </row>
    <row r="123" spans="1:42" x14ac:dyDescent="0.2">
      <c r="A123" t="s">
        <v>267</v>
      </c>
      <c r="B123">
        <v>10109</v>
      </c>
      <c r="C123">
        <v>0</v>
      </c>
      <c r="D123">
        <v>0</v>
      </c>
      <c r="E123">
        <v>1</v>
      </c>
      <c r="F123">
        <v>5</v>
      </c>
      <c r="G123">
        <v>6</v>
      </c>
      <c r="H123">
        <v>3</v>
      </c>
      <c r="I123">
        <v>0</v>
      </c>
      <c r="J123" s="2">
        <v>71707</v>
      </c>
      <c r="K123">
        <v>1</v>
      </c>
      <c r="L123">
        <v>3</v>
      </c>
      <c r="M123" t="s">
        <v>145</v>
      </c>
      <c r="N123" t="s">
        <v>268</v>
      </c>
      <c r="O123">
        <v>37129</v>
      </c>
      <c r="P123" s="1">
        <v>29991</v>
      </c>
      <c r="Q123" t="s">
        <v>45</v>
      </c>
      <c r="R123" t="s">
        <v>46</v>
      </c>
      <c r="S123" t="s">
        <v>47</v>
      </c>
      <c r="T123" t="s">
        <v>48</v>
      </c>
      <c r="U123" t="s">
        <v>104</v>
      </c>
      <c r="V123" s="1">
        <v>43897</v>
      </c>
      <c r="W123" s="1">
        <v>44865</v>
      </c>
      <c r="X123" t="s">
        <v>167</v>
      </c>
      <c r="Y123" t="s">
        <v>60</v>
      </c>
      <c r="Z123" t="s">
        <v>5</v>
      </c>
      <c r="AA123" t="s">
        <v>147</v>
      </c>
      <c r="AB123">
        <v>17</v>
      </c>
      <c r="AC123" t="s">
        <v>54</v>
      </c>
      <c r="AD123" t="s">
        <v>64</v>
      </c>
      <c r="AE123">
        <v>4.5</v>
      </c>
      <c r="AF123">
        <v>5</v>
      </c>
      <c r="AG123">
        <v>0</v>
      </c>
      <c r="AH123" s="1">
        <v>43862</v>
      </c>
      <c r="AI123">
        <v>0</v>
      </c>
      <c r="AJ123">
        <v>20</v>
      </c>
      <c r="AK123">
        <v>0</v>
      </c>
      <c r="AL123">
        <v>44.6</v>
      </c>
      <c r="AM123" t="s">
        <v>501</v>
      </c>
      <c r="AN123">
        <v>6.5</v>
      </c>
      <c r="AO123" t="s">
        <v>521</v>
      </c>
      <c r="AP123">
        <v>5</v>
      </c>
    </row>
    <row r="124" spans="1:42" x14ac:dyDescent="0.2">
      <c r="A124" t="s">
        <v>269</v>
      </c>
      <c r="B124">
        <v>10125</v>
      </c>
      <c r="C124">
        <v>1</v>
      </c>
      <c r="D124">
        <v>1</v>
      </c>
      <c r="E124">
        <v>0</v>
      </c>
      <c r="F124">
        <v>1</v>
      </c>
      <c r="G124">
        <v>5</v>
      </c>
      <c r="H124">
        <v>3</v>
      </c>
      <c r="I124">
        <v>0</v>
      </c>
      <c r="J124" s="2">
        <v>54828</v>
      </c>
      <c r="K124">
        <v>0</v>
      </c>
      <c r="L124">
        <v>19</v>
      </c>
      <c r="M124" t="s">
        <v>43</v>
      </c>
      <c r="N124" t="s">
        <v>44</v>
      </c>
      <c r="O124">
        <v>2127</v>
      </c>
      <c r="P124" s="1">
        <v>32955</v>
      </c>
      <c r="Q124" t="s">
        <v>67</v>
      </c>
      <c r="R124" t="s">
        <v>58</v>
      </c>
      <c r="S124" t="s">
        <v>47</v>
      </c>
      <c r="T124" t="s">
        <v>48</v>
      </c>
      <c r="U124" t="s">
        <v>49</v>
      </c>
      <c r="V124" s="1">
        <v>43797</v>
      </c>
      <c r="W124" s="1" t="s">
        <v>492</v>
      </c>
      <c r="X124" t="s">
        <v>50</v>
      </c>
      <c r="Y124" t="s">
        <v>51</v>
      </c>
      <c r="Z124" t="s">
        <v>52</v>
      </c>
      <c r="AA124" t="s">
        <v>53</v>
      </c>
      <c r="AB124">
        <v>22</v>
      </c>
      <c r="AC124" t="s">
        <v>76</v>
      </c>
      <c r="AD124" t="s">
        <v>64</v>
      </c>
      <c r="AE124">
        <v>4.2</v>
      </c>
      <c r="AF124">
        <v>4</v>
      </c>
      <c r="AG124">
        <v>0</v>
      </c>
      <c r="AH124" s="1">
        <v>46075</v>
      </c>
      <c r="AI124">
        <v>0</v>
      </c>
      <c r="AJ124">
        <v>13</v>
      </c>
      <c r="AK124">
        <v>1</v>
      </c>
      <c r="AL124">
        <v>36.5</v>
      </c>
      <c r="AM124" t="s">
        <v>501</v>
      </c>
      <c r="AN124">
        <v>6.8</v>
      </c>
      <c r="AO124" t="s">
        <v>521</v>
      </c>
      <c r="AP124">
        <v>5</v>
      </c>
    </row>
    <row r="125" spans="1:42" x14ac:dyDescent="0.2">
      <c r="A125" t="s">
        <v>270</v>
      </c>
      <c r="B125">
        <v>10074</v>
      </c>
      <c r="C125">
        <v>0</v>
      </c>
      <c r="D125">
        <v>0</v>
      </c>
      <c r="E125">
        <v>1</v>
      </c>
      <c r="F125">
        <v>1</v>
      </c>
      <c r="G125">
        <v>5</v>
      </c>
      <c r="H125">
        <v>3</v>
      </c>
      <c r="I125">
        <v>0</v>
      </c>
      <c r="J125" s="2">
        <v>64246</v>
      </c>
      <c r="K125">
        <v>0</v>
      </c>
      <c r="L125">
        <v>20</v>
      </c>
      <c r="M125" t="s">
        <v>66</v>
      </c>
      <c r="N125" t="s">
        <v>44</v>
      </c>
      <c r="O125">
        <v>2155</v>
      </c>
      <c r="P125" s="1">
        <v>37113</v>
      </c>
      <c r="Q125" t="s">
        <v>45</v>
      </c>
      <c r="R125" t="s">
        <v>46</v>
      </c>
      <c r="S125" t="s">
        <v>47</v>
      </c>
      <c r="T125" t="s">
        <v>95</v>
      </c>
      <c r="U125" t="s">
        <v>49</v>
      </c>
      <c r="V125" s="1">
        <v>44511</v>
      </c>
      <c r="W125" s="1" t="s">
        <v>492</v>
      </c>
      <c r="X125" t="s">
        <v>50</v>
      </c>
      <c r="Y125" t="s">
        <v>51</v>
      </c>
      <c r="Z125" t="s">
        <v>52</v>
      </c>
      <c r="AA125" t="s">
        <v>105</v>
      </c>
      <c r="AB125">
        <v>18</v>
      </c>
      <c r="AC125" t="s">
        <v>54</v>
      </c>
      <c r="AD125" t="s">
        <v>64</v>
      </c>
      <c r="AE125">
        <v>5</v>
      </c>
      <c r="AF125">
        <v>3</v>
      </c>
      <c r="AG125">
        <v>0</v>
      </c>
      <c r="AH125" s="1">
        <v>46030</v>
      </c>
      <c r="AI125">
        <v>0</v>
      </c>
      <c r="AJ125">
        <v>20</v>
      </c>
      <c r="AK125">
        <v>1</v>
      </c>
      <c r="AL125">
        <v>25</v>
      </c>
      <c r="AM125" t="s">
        <v>500</v>
      </c>
      <c r="AN125">
        <v>4.8</v>
      </c>
      <c r="AO125" t="s">
        <v>508</v>
      </c>
      <c r="AP125">
        <v>4</v>
      </c>
    </row>
    <row r="126" spans="1:42" x14ac:dyDescent="0.2">
      <c r="A126" t="s">
        <v>271</v>
      </c>
      <c r="B126">
        <v>10097</v>
      </c>
      <c r="C126">
        <v>0</v>
      </c>
      <c r="D126">
        <v>0</v>
      </c>
      <c r="E126">
        <v>0</v>
      </c>
      <c r="F126">
        <v>5</v>
      </c>
      <c r="G126">
        <v>5</v>
      </c>
      <c r="H126">
        <v>3</v>
      </c>
      <c r="I126">
        <v>0</v>
      </c>
      <c r="J126" s="2">
        <v>52177</v>
      </c>
      <c r="K126">
        <v>1</v>
      </c>
      <c r="L126">
        <v>19</v>
      </c>
      <c r="M126" t="s">
        <v>43</v>
      </c>
      <c r="N126" t="s">
        <v>44</v>
      </c>
      <c r="O126">
        <v>2324</v>
      </c>
      <c r="P126" s="1">
        <v>23972</v>
      </c>
      <c r="Q126" t="s">
        <v>67</v>
      </c>
      <c r="R126" t="s">
        <v>46</v>
      </c>
      <c r="S126" t="s">
        <v>47</v>
      </c>
      <c r="T126" t="s">
        <v>48</v>
      </c>
      <c r="U126" t="s">
        <v>49</v>
      </c>
      <c r="V126" s="1">
        <v>43839</v>
      </c>
      <c r="W126" s="1">
        <v>45275</v>
      </c>
      <c r="X126" t="s">
        <v>136</v>
      </c>
      <c r="Y126" t="s">
        <v>60</v>
      </c>
      <c r="Z126" t="s">
        <v>52</v>
      </c>
      <c r="AA126" t="s">
        <v>75</v>
      </c>
      <c r="AB126">
        <v>39</v>
      </c>
      <c r="AC126" t="s">
        <v>123</v>
      </c>
      <c r="AD126" t="s">
        <v>64</v>
      </c>
      <c r="AE126">
        <v>4.6399999999999997</v>
      </c>
      <c r="AF126">
        <v>4</v>
      </c>
      <c r="AG126">
        <v>0</v>
      </c>
      <c r="AH126" s="1">
        <v>44683</v>
      </c>
      <c r="AI126">
        <v>0</v>
      </c>
      <c r="AJ126">
        <v>8</v>
      </c>
      <c r="AK126">
        <v>0</v>
      </c>
      <c r="AL126">
        <v>61</v>
      </c>
      <c r="AM126" t="s">
        <v>518</v>
      </c>
      <c r="AN126">
        <v>6.7</v>
      </c>
      <c r="AO126" t="s">
        <v>521</v>
      </c>
      <c r="AP126">
        <v>5</v>
      </c>
    </row>
    <row r="127" spans="1:42" x14ac:dyDescent="0.2">
      <c r="A127" t="s">
        <v>272</v>
      </c>
      <c r="B127">
        <v>10007</v>
      </c>
      <c r="C127">
        <v>1</v>
      </c>
      <c r="D127">
        <v>1</v>
      </c>
      <c r="E127">
        <v>0</v>
      </c>
      <c r="F127">
        <v>1</v>
      </c>
      <c r="G127">
        <v>5</v>
      </c>
      <c r="H127">
        <v>4</v>
      </c>
      <c r="I127">
        <v>0</v>
      </c>
      <c r="J127" s="2">
        <v>62065</v>
      </c>
      <c r="K127">
        <v>0</v>
      </c>
      <c r="L127">
        <v>19</v>
      </c>
      <c r="M127" t="s">
        <v>43</v>
      </c>
      <c r="N127" t="s">
        <v>44</v>
      </c>
      <c r="O127">
        <v>1886</v>
      </c>
      <c r="P127" s="1">
        <v>31899</v>
      </c>
      <c r="Q127" t="s">
        <v>67</v>
      </c>
      <c r="R127" t="s">
        <v>58</v>
      </c>
      <c r="S127" t="s">
        <v>47</v>
      </c>
      <c r="T127" t="s">
        <v>48</v>
      </c>
      <c r="U127" t="s">
        <v>49</v>
      </c>
      <c r="V127" s="1">
        <v>44693</v>
      </c>
      <c r="W127" s="1" t="s">
        <v>492</v>
      </c>
      <c r="X127" t="s">
        <v>50</v>
      </c>
      <c r="Y127" t="s">
        <v>51</v>
      </c>
      <c r="Z127" t="s">
        <v>52</v>
      </c>
      <c r="AA127" t="s">
        <v>78</v>
      </c>
      <c r="AB127">
        <v>11</v>
      </c>
      <c r="AC127" t="s">
        <v>123</v>
      </c>
      <c r="AD127" t="s">
        <v>55</v>
      </c>
      <c r="AE127">
        <v>4.76</v>
      </c>
      <c r="AF127">
        <v>4</v>
      </c>
      <c r="AG127">
        <v>0</v>
      </c>
      <c r="AH127" s="1">
        <v>46068</v>
      </c>
      <c r="AI127">
        <v>0</v>
      </c>
      <c r="AJ127">
        <v>5</v>
      </c>
      <c r="AK127">
        <v>1</v>
      </c>
      <c r="AL127">
        <v>39.299999999999997</v>
      </c>
      <c r="AM127" t="s">
        <v>501</v>
      </c>
      <c r="AN127">
        <v>4.3</v>
      </c>
      <c r="AO127" t="s">
        <v>508</v>
      </c>
      <c r="AP127">
        <v>4</v>
      </c>
    </row>
    <row r="128" spans="1:42" x14ac:dyDescent="0.2">
      <c r="A128" t="s">
        <v>273</v>
      </c>
      <c r="B128">
        <v>10129</v>
      </c>
      <c r="C128">
        <v>0</v>
      </c>
      <c r="D128">
        <v>0</v>
      </c>
      <c r="E128">
        <v>1</v>
      </c>
      <c r="F128">
        <v>1</v>
      </c>
      <c r="G128">
        <v>5</v>
      </c>
      <c r="H128">
        <v>3</v>
      </c>
      <c r="I128">
        <v>0</v>
      </c>
      <c r="J128" s="2">
        <v>46998</v>
      </c>
      <c r="K128">
        <v>0</v>
      </c>
      <c r="L128">
        <v>19</v>
      </c>
      <c r="M128" t="s">
        <v>43</v>
      </c>
      <c r="N128" t="s">
        <v>44</v>
      </c>
      <c r="O128">
        <v>2149</v>
      </c>
      <c r="P128" s="1">
        <v>35434</v>
      </c>
      <c r="Q128" t="s">
        <v>45</v>
      </c>
      <c r="R128" t="s">
        <v>46</v>
      </c>
      <c r="S128" t="s">
        <v>47</v>
      </c>
      <c r="T128" t="s">
        <v>48</v>
      </c>
      <c r="U128" t="s">
        <v>49</v>
      </c>
      <c r="V128" s="1">
        <v>44056</v>
      </c>
      <c r="W128" s="1" t="s">
        <v>492</v>
      </c>
      <c r="X128" t="s">
        <v>50</v>
      </c>
      <c r="Y128" t="s">
        <v>51</v>
      </c>
      <c r="Z128" t="s">
        <v>52</v>
      </c>
      <c r="AA128" t="s">
        <v>85</v>
      </c>
      <c r="AB128">
        <v>19</v>
      </c>
      <c r="AC128" t="s">
        <v>76</v>
      </c>
      <c r="AD128" t="s">
        <v>64</v>
      </c>
      <c r="AE128">
        <v>4.17</v>
      </c>
      <c r="AF128">
        <v>4</v>
      </c>
      <c r="AG128">
        <v>0</v>
      </c>
      <c r="AH128" s="1">
        <v>46064</v>
      </c>
      <c r="AI128">
        <v>0</v>
      </c>
      <c r="AJ128">
        <v>1</v>
      </c>
      <c r="AK128">
        <v>1</v>
      </c>
      <c r="AL128">
        <v>29.7</v>
      </c>
      <c r="AM128" t="s">
        <v>500</v>
      </c>
      <c r="AN128">
        <v>6</v>
      </c>
      <c r="AO128" t="s">
        <v>521</v>
      </c>
      <c r="AP128">
        <v>5</v>
      </c>
    </row>
    <row r="129" spans="1:42" x14ac:dyDescent="0.2">
      <c r="A129" t="s">
        <v>274</v>
      </c>
      <c r="B129">
        <v>10075</v>
      </c>
      <c r="C129">
        <v>0</v>
      </c>
      <c r="D129">
        <v>0</v>
      </c>
      <c r="E129">
        <v>0</v>
      </c>
      <c r="F129">
        <v>5</v>
      </c>
      <c r="G129">
        <v>5</v>
      </c>
      <c r="H129">
        <v>3</v>
      </c>
      <c r="I129">
        <v>0</v>
      </c>
      <c r="J129" s="2">
        <v>68099</v>
      </c>
      <c r="K129">
        <v>1</v>
      </c>
      <c r="L129">
        <v>20</v>
      </c>
      <c r="M129" t="s">
        <v>66</v>
      </c>
      <c r="N129" t="s">
        <v>44</v>
      </c>
      <c r="O129">
        <v>2021</v>
      </c>
      <c r="P129" s="1">
        <v>31286</v>
      </c>
      <c r="Q129" t="s">
        <v>67</v>
      </c>
      <c r="R129" t="s">
        <v>46</v>
      </c>
      <c r="S129" t="s">
        <v>47</v>
      </c>
      <c r="T129" t="s">
        <v>48</v>
      </c>
      <c r="U129" t="s">
        <v>49</v>
      </c>
      <c r="V129" s="1">
        <v>43475</v>
      </c>
      <c r="W129" s="1">
        <v>44365</v>
      </c>
      <c r="X129" t="s">
        <v>68</v>
      </c>
      <c r="Y129" t="s">
        <v>60</v>
      </c>
      <c r="Z129" t="s">
        <v>52</v>
      </c>
      <c r="AA129" t="s">
        <v>105</v>
      </c>
      <c r="AB129">
        <v>18</v>
      </c>
      <c r="AC129" t="s">
        <v>123</v>
      </c>
      <c r="AD129" t="s">
        <v>64</v>
      </c>
      <c r="AE129">
        <v>5</v>
      </c>
      <c r="AF129">
        <v>3</v>
      </c>
      <c r="AG129">
        <v>0</v>
      </c>
      <c r="AH129" s="1">
        <v>43860</v>
      </c>
      <c r="AI129">
        <v>0</v>
      </c>
      <c r="AJ129">
        <v>15</v>
      </c>
      <c r="AK129">
        <v>0</v>
      </c>
      <c r="AL129">
        <v>41</v>
      </c>
      <c r="AM129" t="s">
        <v>501</v>
      </c>
      <c r="AN129">
        <v>7.7</v>
      </c>
      <c r="AO129" t="s">
        <v>521</v>
      </c>
      <c r="AP129">
        <v>5</v>
      </c>
    </row>
    <row r="130" spans="1:42" x14ac:dyDescent="0.2">
      <c r="A130" t="s">
        <v>275</v>
      </c>
      <c r="B130">
        <v>10167</v>
      </c>
      <c r="C130">
        <v>1</v>
      </c>
      <c r="D130">
        <v>1</v>
      </c>
      <c r="E130">
        <v>1</v>
      </c>
      <c r="F130">
        <v>1</v>
      </c>
      <c r="G130">
        <v>6</v>
      </c>
      <c r="H130">
        <v>3</v>
      </c>
      <c r="I130">
        <v>0</v>
      </c>
      <c r="J130" s="2">
        <v>70545</v>
      </c>
      <c r="K130">
        <v>0</v>
      </c>
      <c r="L130">
        <v>3</v>
      </c>
      <c r="M130" t="s">
        <v>145</v>
      </c>
      <c r="N130" t="s">
        <v>276</v>
      </c>
      <c r="O130">
        <v>3062</v>
      </c>
      <c r="P130" s="1">
        <v>37148</v>
      </c>
      <c r="Q130" t="s">
        <v>45</v>
      </c>
      <c r="R130" t="s">
        <v>58</v>
      </c>
      <c r="S130" t="s">
        <v>47</v>
      </c>
      <c r="T130" t="s">
        <v>48</v>
      </c>
      <c r="U130" t="s">
        <v>262</v>
      </c>
      <c r="V130" s="1">
        <v>44791</v>
      </c>
      <c r="W130" s="1" t="s">
        <v>492</v>
      </c>
      <c r="X130" t="s">
        <v>50</v>
      </c>
      <c r="Y130" t="s">
        <v>51</v>
      </c>
      <c r="Z130" t="s">
        <v>5</v>
      </c>
      <c r="AA130" t="s">
        <v>147</v>
      </c>
      <c r="AB130">
        <v>17</v>
      </c>
      <c r="AC130" t="s">
        <v>63</v>
      </c>
      <c r="AD130" t="s">
        <v>64</v>
      </c>
      <c r="AE130">
        <v>3.6</v>
      </c>
      <c r="AF130">
        <v>5</v>
      </c>
      <c r="AG130">
        <v>0</v>
      </c>
      <c r="AH130" s="1">
        <v>46052</v>
      </c>
      <c r="AI130">
        <v>0</v>
      </c>
      <c r="AJ130">
        <v>9</v>
      </c>
      <c r="AK130">
        <v>1</v>
      </c>
      <c r="AL130">
        <v>24.8</v>
      </c>
      <c r="AM130" t="s">
        <v>499</v>
      </c>
      <c r="AN130">
        <v>4</v>
      </c>
      <c r="AO130" t="s">
        <v>508</v>
      </c>
      <c r="AP130">
        <v>4</v>
      </c>
    </row>
    <row r="131" spans="1:42" x14ac:dyDescent="0.2">
      <c r="A131" t="s">
        <v>277</v>
      </c>
      <c r="B131">
        <v>10195</v>
      </c>
      <c r="C131">
        <v>1</v>
      </c>
      <c r="D131">
        <v>1</v>
      </c>
      <c r="E131">
        <v>0</v>
      </c>
      <c r="F131">
        <v>5</v>
      </c>
      <c r="G131">
        <v>5</v>
      </c>
      <c r="H131">
        <v>3</v>
      </c>
      <c r="I131">
        <v>0</v>
      </c>
      <c r="J131" s="2">
        <v>63478</v>
      </c>
      <c r="K131">
        <v>1</v>
      </c>
      <c r="L131">
        <v>20</v>
      </c>
      <c r="M131" t="s">
        <v>66</v>
      </c>
      <c r="N131" t="s">
        <v>44</v>
      </c>
      <c r="O131">
        <v>2445</v>
      </c>
      <c r="P131" s="1">
        <v>35477</v>
      </c>
      <c r="Q131" t="s">
        <v>67</v>
      </c>
      <c r="R131" t="s">
        <v>58</v>
      </c>
      <c r="S131" t="s">
        <v>169</v>
      </c>
      <c r="T131" t="s">
        <v>48</v>
      </c>
      <c r="U131" t="s">
        <v>49</v>
      </c>
      <c r="V131" s="1">
        <v>43692</v>
      </c>
      <c r="W131" s="1">
        <v>43928</v>
      </c>
      <c r="X131" t="s">
        <v>167</v>
      </c>
      <c r="Y131" t="s">
        <v>60</v>
      </c>
      <c r="Z131" t="s">
        <v>52</v>
      </c>
      <c r="AA131" t="s">
        <v>53</v>
      </c>
      <c r="AB131">
        <v>30</v>
      </c>
      <c r="AC131" t="s">
        <v>63</v>
      </c>
      <c r="AD131" t="s">
        <v>64</v>
      </c>
      <c r="AE131">
        <v>3.03</v>
      </c>
      <c r="AF131">
        <v>5</v>
      </c>
      <c r="AG131">
        <v>0</v>
      </c>
      <c r="AH131" s="1">
        <v>43529</v>
      </c>
      <c r="AI131">
        <v>0</v>
      </c>
      <c r="AJ131">
        <v>16</v>
      </c>
      <c r="AK131">
        <v>0</v>
      </c>
      <c r="AL131">
        <v>29.6</v>
      </c>
      <c r="AM131" t="s">
        <v>500</v>
      </c>
      <c r="AN131">
        <v>7</v>
      </c>
      <c r="AO131" t="s">
        <v>521</v>
      </c>
      <c r="AP131">
        <v>5</v>
      </c>
    </row>
    <row r="132" spans="1:42" x14ac:dyDescent="0.2">
      <c r="A132" t="s">
        <v>278</v>
      </c>
      <c r="B132">
        <v>10112</v>
      </c>
      <c r="C132">
        <v>0</v>
      </c>
      <c r="D132">
        <v>0</v>
      </c>
      <c r="E132">
        <v>0</v>
      </c>
      <c r="F132">
        <v>1</v>
      </c>
      <c r="G132">
        <v>3</v>
      </c>
      <c r="H132">
        <v>3</v>
      </c>
      <c r="I132">
        <v>0</v>
      </c>
      <c r="J132" s="2">
        <v>97999</v>
      </c>
      <c r="K132">
        <v>0</v>
      </c>
      <c r="L132">
        <v>8</v>
      </c>
      <c r="M132" t="s">
        <v>115</v>
      </c>
      <c r="N132" t="s">
        <v>44</v>
      </c>
      <c r="O132">
        <v>2493</v>
      </c>
      <c r="P132" s="1">
        <v>35482</v>
      </c>
      <c r="Q132" t="s">
        <v>67</v>
      </c>
      <c r="R132" t="s">
        <v>46</v>
      </c>
      <c r="S132" t="s">
        <v>47</v>
      </c>
      <c r="T132" t="s">
        <v>48</v>
      </c>
      <c r="U132" t="s">
        <v>49</v>
      </c>
      <c r="V132" s="1">
        <v>45015</v>
      </c>
      <c r="W132" s="1" t="s">
        <v>492</v>
      </c>
      <c r="X132" t="s">
        <v>50</v>
      </c>
      <c r="Y132" t="s">
        <v>51</v>
      </c>
      <c r="Z132" t="s">
        <v>61</v>
      </c>
      <c r="AA132" t="s">
        <v>62</v>
      </c>
      <c r="AB132">
        <v>4</v>
      </c>
      <c r="AC132" t="s">
        <v>63</v>
      </c>
      <c r="AD132" t="s">
        <v>64</v>
      </c>
      <c r="AE132">
        <v>4.4800000000000004</v>
      </c>
      <c r="AF132">
        <v>5</v>
      </c>
      <c r="AG132">
        <v>6</v>
      </c>
      <c r="AH132" s="1">
        <v>46025</v>
      </c>
      <c r="AI132">
        <v>0</v>
      </c>
      <c r="AJ132">
        <v>4</v>
      </c>
      <c r="AK132">
        <v>1</v>
      </c>
      <c r="AL132">
        <v>29.6</v>
      </c>
      <c r="AM132" t="s">
        <v>500</v>
      </c>
      <c r="AN132">
        <v>3.5</v>
      </c>
      <c r="AO132" t="s">
        <v>508</v>
      </c>
      <c r="AP132">
        <v>4</v>
      </c>
    </row>
    <row r="133" spans="1:42" x14ac:dyDescent="0.2">
      <c r="A133" t="s">
        <v>279</v>
      </c>
      <c r="B133">
        <v>10272</v>
      </c>
      <c r="C133">
        <v>1</v>
      </c>
      <c r="D133">
        <v>1</v>
      </c>
      <c r="E133">
        <v>0</v>
      </c>
      <c r="F133">
        <v>1</v>
      </c>
      <c r="G133">
        <v>6</v>
      </c>
      <c r="H133">
        <v>3</v>
      </c>
      <c r="I133">
        <v>0</v>
      </c>
      <c r="J133" s="2">
        <v>180000</v>
      </c>
      <c r="K133">
        <v>0</v>
      </c>
      <c r="L133">
        <v>11</v>
      </c>
      <c r="M133" t="s">
        <v>280</v>
      </c>
      <c r="N133" t="s">
        <v>281</v>
      </c>
      <c r="O133">
        <v>2908</v>
      </c>
      <c r="P133" s="1">
        <v>28931</v>
      </c>
      <c r="Q133" t="s">
        <v>67</v>
      </c>
      <c r="R133" t="s">
        <v>58</v>
      </c>
      <c r="S133" t="s">
        <v>47</v>
      </c>
      <c r="T133" t="s">
        <v>48</v>
      </c>
      <c r="U133" t="s">
        <v>49</v>
      </c>
      <c r="V133" s="1">
        <v>44686</v>
      </c>
      <c r="W133" s="1" t="s">
        <v>492</v>
      </c>
      <c r="X133" t="s">
        <v>50</v>
      </c>
      <c r="Y133" t="s">
        <v>51</v>
      </c>
      <c r="Z133" t="s">
        <v>5</v>
      </c>
      <c r="AA133" t="s">
        <v>137</v>
      </c>
      <c r="AB133">
        <v>2</v>
      </c>
      <c r="AC133" t="s">
        <v>54</v>
      </c>
      <c r="AD133" t="s">
        <v>64</v>
      </c>
      <c r="AE133">
        <v>4.5</v>
      </c>
      <c r="AF133">
        <v>4</v>
      </c>
      <c r="AG133">
        <v>0</v>
      </c>
      <c r="AH133" s="1">
        <v>46043</v>
      </c>
      <c r="AI133">
        <v>0</v>
      </c>
      <c r="AJ133">
        <v>19</v>
      </c>
      <c r="AK133">
        <v>1</v>
      </c>
      <c r="AL133">
        <v>47.5</v>
      </c>
      <c r="AM133" t="s">
        <v>502</v>
      </c>
      <c r="AN133">
        <v>4.3</v>
      </c>
      <c r="AO133" t="s">
        <v>508</v>
      </c>
      <c r="AP133">
        <v>4</v>
      </c>
    </row>
    <row r="134" spans="1:42" x14ac:dyDescent="0.2">
      <c r="A134" t="s">
        <v>282</v>
      </c>
      <c r="B134">
        <v>10182</v>
      </c>
      <c r="C134">
        <v>1</v>
      </c>
      <c r="D134">
        <v>1</v>
      </c>
      <c r="E134">
        <v>0</v>
      </c>
      <c r="F134">
        <v>1</v>
      </c>
      <c r="G134">
        <v>1</v>
      </c>
      <c r="H134">
        <v>3</v>
      </c>
      <c r="I134">
        <v>0</v>
      </c>
      <c r="J134" s="2">
        <v>49920</v>
      </c>
      <c r="K134">
        <v>1</v>
      </c>
      <c r="L134">
        <v>2</v>
      </c>
      <c r="M134" t="s">
        <v>283</v>
      </c>
      <c r="N134" t="s">
        <v>44</v>
      </c>
      <c r="O134">
        <v>2170</v>
      </c>
      <c r="P134" s="1">
        <v>36054</v>
      </c>
      <c r="Q134" t="s">
        <v>67</v>
      </c>
      <c r="R134" t="s">
        <v>58</v>
      </c>
      <c r="S134" t="s">
        <v>47</v>
      </c>
      <c r="T134" t="s">
        <v>48</v>
      </c>
      <c r="U134" t="s">
        <v>88</v>
      </c>
      <c r="V134" s="1">
        <v>44973</v>
      </c>
      <c r="W134" s="1">
        <v>45031</v>
      </c>
      <c r="X134" t="s">
        <v>223</v>
      </c>
      <c r="Y134" t="s">
        <v>110</v>
      </c>
      <c r="Z134" t="s">
        <v>132</v>
      </c>
      <c r="AA134" t="s">
        <v>133</v>
      </c>
      <c r="AB134">
        <v>1</v>
      </c>
      <c r="AC134" t="s">
        <v>63</v>
      </c>
      <c r="AD134" t="s">
        <v>64</v>
      </c>
      <c r="AE134">
        <v>3.24</v>
      </c>
      <c r="AF134">
        <v>3</v>
      </c>
      <c r="AG134">
        <v>4</v>
      </c>
      <c r="AH134" s="1">
        <v>44666</v>
      </c>
      <c r="AI134">
        <v>0</v>
      </c>
      <c r="AJ134">
        <v>6</v>
      </c>
      <c r="AK134">
        <v>0</v>
      </c>
      <c r="AL134">
        <v>27.8</v>
      </c>
      <c r="AM134" t="s">
        <v>500</v>
      </c>
      <c r="AN134">
        <v>3.6</v>
      </c>
      <c r="AO134" t="s">
        <v>508</v>
      </c>
      <c r="AP134">
        <v>4</v>
      </c>
    </row>
    <row r="135" spans="1:42" x14ac:dyDescent="0.2">
      <c r="A135" t="s">
        <v>284</v>
      </c>
      <c r="B135">
        <v>10248</v>
      </c>
      <c r="C135">
        <v>0</v>
      </c>
      <c r="D135">
        <v>0</v>
      </c>
      <c r="E135">
        <v>0</v>
      </c>
      <c r="F135">
        <v>1</v>
      </c>
      <c r="G135">
        <v>5</v>
      </c>
      <c r="H135">
        <v>3</v>
      </c>
      <c r="I135">
        <v>0</v>
      </c>
      <c r="J135" s="2">
        <v>55425</v>
      </c>
      <c r="K135">
        <v>0</v>
      </c>
      <c r="L135">
        <v>19</v>
      </c>
      <c r="M135" t="s">
        <v>43</v>
      </c>
      <c r="N135" t="s">
        <v>44</v>
      </c>
      <c r="O135">
        <v>2176</v>
      </c>
      <c r="P135" s="1">
        <v>36321</v>
      </c>
      <c r="Q135" t="s">
        <v>67</v>
      </c>
      <c r="R135" t="s">
        <v>46</v>
      </c>
      <c r="S135" t="s">
        <v>47</v>
      </c>
      <c r="T135" t="s">
        <v>48</v>
      </c>
      <c r="U135" t="s">
        <v>49</v>
      </c>
      <c r="V135" s="1">
        <v>43881</v>
      </c>
      <c r="W135" s="1" t="s">
        <v>492</v>
      </c>
      <c r="X135" t="s">
        <v>50</v>
      </c>
      <c r="Y135" t="s">
        <v>51</v>
      </c>
      <c r="Z135" t="s">
        <v>52</v>
      </c>
      <c r="AA135" t="s">
        <v>85</v>
      </c>
      <c r="AB135">
        <v>19</v>
      </c>
      <c r="AC135" t="s">
        <v>54</v>
      </c>
      <c r="AD135" t="s">
        <v>64</v>
      </c>
      <c r="AE135">
        <v>4.8</v>
      </c>
      <c r="AF135">
        <v>4</v>
      </c>
      <c r="AG135">
        <v>0</v>
      </c>
      <c r="AH135" s="1">
        <v>46029</v>
      </c>
      <c r="AI135">
        <v>0</v>
      </c>
      <c r="AJ135">
        <v>4</v>
      </c>
      <c r="AK135">
        <v>1</v>
      </c>
      <c r="AL135">
        <v>27.2</v>
      </c>
      <c r="AM135" t="s">
        <v>500</v>
      </c>
      <c r="AN135">
        <v>6.6</v>
      </c>
      <c r="AO135" t="s">
        <v>521</v>
      </c>
      <c r="AP135">
        <v>5</v>
      </c>
    </row>
    <row r="136" spans="1:42" x14ac:dyDescent="0.2">
      <c r="A136" t="s">
        <v>285</v>
      </c>
      <c r="B136">
        <v>10201</v>
      </c>
      <c r="C136">
        <v>0</v>
      </c>
      <c r="D136">
        <v>0</v>
      </c>
      <c r="E136">
        <v>0</v>
      </c>
      <c r="F136">
        <v>2</v>
      </c>
      <c r="G136">
        <v>5</v>
      </c>
      <c r="H136">
        <v>3</v>
      </c>
      <c r="I136">
        <v>0</v>
      </c>
      <c r="J136" s="2">
        <v>69340</v>
      </c>
      <c r="K136">
        <v>0</v>
      </c>
      <c r="L136">
        <v>20</v>
      </c>
      <c r="M136" t="s">
        <v>66</v>
      </c>
      <c r="N136" t="s">
        <v>44</v>
      </c>
      <c r="O136">
        <v>2021</v>
      </c>
      <c r="P136" s="1">
        <v>35500</v>
      </c>
      <c r="Q136" t="s">
        <v>67</v>
      </c>
      <c r="R136" t="s">
        <v>46</v>
      </c>
      <c r="S136" t="s">
        <v>47</v>
      </c>
      <c r="T136" t="s">
        <v>48</v>
      </c>
      <c r="U136" t="s">
        <v>49</v>
      </c>
      <c r="V136" s="1">
        <v>45449</v>
      </c>
      <c r="W136" s="1" t="s">
        <v>492</v>
      </c>
      <c r="X136" t="s">
        <v>50</v>
      </c>
      <c r="Y136" t="s">
        <v>51</v>
      </c>
      <c r="Z136" t="s">
        <v>52</v>
      </c>
      <c r="AA136" t="s">
        <v>71</v>
      </c>
      <c r="AB136">
        <v>16</v>
      </c>
      <c r="AC136" t="s">
        <v>54</v>
      </c>
      <c r="AD136" t="s">
        <v>64</v>
      </c>
      <c r="AE136">
        <v>3</v>
      </c>
      <c r="AF136">
        <v>5</v>
      </c>
      <c r="AG136">
        <v>0</v>
      </c>
      <c r="AH136" s="1">
        <v>46040</v>
      </c>
      <c r="AI136">
        <v>0</v>
      </c>
      <c r="AJ136">
        <v>4</v>
      </c>
      <c r="AK136">
        <v>1</v>
      </c>
      <c r="AL136">
        <v>29.5</v>
      </c>
      <c r="AM136" t="s">
        <v>500</v>
      </c>
      <c r="AN136">
        <v>2.2000000000000002</v>
      </c>
      <c r="AO136" t="s">
        <v>507</v>
      </c>
      <c r="AP136">
        <v>3</v>
      </c>
    </row>
    <row r="137" spans="1:42" x14ac:dyDescent="0.2">
      <c r="A137" t="s">
        <v>286</v>
      </c>
      <c r="B137">
        <v>10214</v>
      </c>
      <c r="C137">
        <v>0</v>
      </c>
      <c r="D137">
        <v>3</v>
      </c>
      <c r="E137">
        <v>0</v>
      </c>
      <c r="F137">
        <v>2</v>
      </c>
      <c r="G137">
        <v>5</v>
      </c>
      <c r="H137">
        <v>3</v>
      </c>
      <c r="I137">
        <v>0</v>
      </c>
      <c r="J137" s="2">
        <v>64995</v>
      </c>
      <c r="K137">
        <v>0</v>
      </c>
      <c r="L137">
        <v>20</v>
      </c>
      <c r="M137" t="s">
        <v>66</v>
      </c>
      <c r="N137" t="s">
        <v>44</v>
      </c>
      <c r="O137">
        <v>2351</v>
      </c>
      <c r="P137" s="1">
        <v>38479</v>
      </c>
      <c r="Q137" t="s">
        <v>67</v>
      </c>
      <c r="R137" t="s">
        <v>143</v>
      </c>
      <c r="S137" t="s">
        <v>47</v>
      </c>
      <c r="T137" t="s">
        <v>48</v>
      </c>
      <c r="U137" t="s">
        <v>49</v>
      </c>
      <c r="V137" s="1">
        <v>45082</v>
      </c>
      <c r="W137" s="1" t="s">
        <v>492</v>
      </c>
      <c r="X137" t="s">
        <v>50</v>
      </c>
      <c r="Y137" t="s">
        <v>51</v>
      </c>
      <c r="Z137" t="s">
        <v>52</v>
      </c>
      <c r="AA137" t="s">
        <v>75</v>
      </c>
      <c r="AC137" t="s">
        <v>63</v>
      </c>
      <c r="AD137" t="s">
        <v>64</v>
      </c>
      <c r="AE137">
        <v>4.5</v>
      </c>
      <c r="AF137">
        <v>3</v>
      </c>
      <c r="AG137">
        <v>0</v>
      </c>
      <c r="AH137" s="1">
        <v>46067</v>
      </c>
      <c r="AI137">
        <v>0</v>
      </c>
      <c r="AJ137">
        <v>6</v>
      </c>
      <c r="AK137">
        <v>1</v>
      </c>
      <c r="AL137">
        <v>21.3</v>
      </c>
      <c r="AM137" t="s">
        <v>499</v>
      </c>
      <c r="AN137">
        <v>3.2</v>
      </c>
      <c r="AO137" t="s">
        <v>508</v>
      </c>
      <c r="AP137">
        <v>4</v>
      </c>
    </row>
    <row r="138" spans="1:42" x14ac:dyDescent="0.2">
      <c r="A138" t="s">
        <v>287</v>
      </c>
      <c r="B138">
        <v>10160</v>
      </c>
      <c r="C138">
        <v>0</v>
      </c>
      <c r="D138">
        <v>2</v>
      </c>
      <c r="E138">
        <v>0</v>
      </c>
      <c r="F138">
        <v>5</v>
      </c>
      <c r="G138">
        <v>5</v>
      </c>
      <c r="H138">
        <v>3</v>
      </c>
      <c r="I138">
        <v>0</v>
      </c>
      <c r="J138" s="2">
        <v>68182</v>
      </c>
      <c r="K138">
        <v>1</v>
      </c>
      <c r="L138">
        <v>20</v>
      </c>
      <c r="M138" t="s">
        <v>66</v>
      </c>
      <c r="N138" t="s">
        <v>44</v>
      </c>
      <c r="O138">
        <v>1742</v>
      </c>
      <c r="P138" s="1">
        <v>32773</v>
      </c>
      <c r="Q138" t="s">
        <v>67</v>
      </c>
      <c r="R138" t="s">
        <v>73</v>
      </c>
      <c r="S138" t="s">
        <v>47</v>
      </c>
      <c r="T138" t="s">
        <v>48</v>
      </c>
      <c r="U138" t="s">
        <v>49</v>
      </c>
      <c r="V138" s="1">
        <v>43517</v>
      </c>
      <c r="W138" s="1">
        <v>44287</v>
      </c>
      <c r="X138" t="s">
        <v>99</v>
      </c>
      <c r="Y138" t="s">
        <v>60</v>
      </c>
      <c r="Z138" t="s">
        <v>52</v>
      </c>
      <c r="AA138" t="s">
        <v>78</v>
      </c>
      <c r="AB138">
        <v>11</v>
      </c>
      <c r="AC138" t="s">
        <v>76</v>
      </c>
      <c r="AD138" t="s">
        <v>64</v>
      </c>
      <c r="AE138">
        <v>3.72</v>
      </c>
      <c r="AF138">
        <v>3</v>
      </c>
      <c r="AG138">
        <v>0</v>
      </c>
      <c r="AH138" s="1">
        <v>43862</v>
      </c>
      <c r="AI138">
        <v>0</v>
      </c>
      <c r="AJ138">
        <v>18</v>
      </c>
      <c r="AK138">
        <v>0</v>
      </c>
      <c r="AL138">
        <v>36.799999999999997</v>
      </c>
      <c r="AM138" t="s">
        <v>501</v>
      </c>
      <c r="AN138">
        <v>7.6</v>
      </c>
      <c r="AO138" t="s">
        <v>521</v>
      </c>
      <c r="AP138">
        <v>5</v>
      </c>
    </row>
    <row r="139" spans="1:42" x14ac:dyDescent="0.2">
      <c r="A139" t="s">
        <v>288</v>
      </c>
      <c r="B139">
        <v>10289</v>
      </c>
      <c r="C139">
        <v>1</v>
      </c>
      <c r="D139">
        <v>1</v>
      </c>
      <c r="E139">
        <v>1</v>
      </c>
      <c r="F139">
        <v>5</v>
      </c>
      <c r="G139">
        <v>5</v>
      </c>
      <c r="H139">
        <v>2</v>
      </c>
      <c r="I139">
        <v>0</v>
      </c>
      <c r="J139" s="2">
        <v>83082</v>
      </c>
      <c r="K139">
        <v>1</v>
      </c>
      <c r="L139">
        <v>18</v>
      </c>
      <c r="M139" t="s">
        <v>135</v>
      </c>
      <c r="N139" t="s">
        <v>44</v>
      </c>
      <c r="O139">
        <v>2128</v>
      </c>
      <c r="P139" s="1">
        <v>32827</v>
      </c>
      <c r="Q139" t="s">
        <v>45</v>
      </c>
      <c r="R139" t="s">
        <v>58</v>
      </c>
      <c r="S139" t="s">
        <v>47</v>
      </c>
      <c r="T139" t="s">
        <v>48</v>
      </c>
      <c r="U139" t="s">
        <v>118</v>
      </c>
      <c r="V139" s="1">
        <v>43517</v>
      </c>
      <c r="W139" s="1">
        <v>44098</v>
      </c>
      <c r="X139" t="s">
        <v>99</v>
      </c>
      <c r="Y139" t="s">
        <v>60</v>
      </c>
      <c r="Z139" t="s">
        <v>52</v>
      </c>
      <c r="AA139" t="s">
        <v>137</v>
      </c>
      <c r="AB139">
        <v>2</v>
      </c>
      <c r="AC139" t="s">
        <v>63</v>
      </c>
      <c r="AD139" t="s">
        <v>124</v>
      </c>
      <c r="AE139">
        <v>2.34</v>
      </c>
      <c r="AF139">
        <v>2</v>
      </c>
      <c r="AG139">
        <v>0</v>
      </c>
      <c r="AH139" s="1">
        <v>43567</v>
      </c>
      <c r="AI139">
        <v>3</v>
      </c>
      <c r="AJ139">
        <v>4</v>
      </c>
      <c r="AK139">
        <v>0</v>
      </c>
      <c r="AL139">
        <v>36.799999999999997</v>
      </c>
      <c r="AM139" t="s">
        <v>501</v>
      </c>
      <c r="AN139">
        <v>7.6</v>
      </c>
      <c r="AO139" t="s">
        <v>521</v>
      </c>
      <c r="AP139">
        <v>5</v>
      </c>
    </row>
    <row r="140" spans="1:42" x14ac:dyDescent="0.2">
      <c r="A140" t="s">
        <v>289</v>
      </c>
      <c r="B140">
        <v>10139</v>
      </c>
      <c r="C140">
        <v>0</v>
      </c>
      <c r="D140">
        <v>0</v>
      </c>
      <c r="E140">
        <v>0</v>
      </c>
      <c r="F140">
        <v>1</v>
      </c>
      <c r="G140">
        <v>5</v>
      </c>
      <c r="H140">
        <v>3</v>
      </c>
      <c r="I140">
        <v>0</v>
      </c>
      <c r="J140" s="2">
        <v>51908</v>
      </c>
      <c r="K140">
        <v>0</v>
      </c>
      <c r="L140">
        <v>19</v>
      </c>
      <c r="M140" t="s">
        <v>43</v>
      </c>
      <c r="N140" t="s">
        <v>44</v>
      </c>
      <c r="O140">
        <v>1775</v>
      </c>
      <c r="P140" s="1">
        <v>38014</v>
      </c>
      <c r="Q140" t="s">
        <v>67</v>
      </c>
      <c r="R140" t="s">
        <v>46</v>
      </c>
      <c r="S140" t="s">
        <v>47</v>
      </c>
      <c r="T140" t="s">
        <v>48</v>
      </c>
      <c r="U140" t="s">
        <v>49</v>
      </c>
      <c r="V140" s="1">
        <v>44427</v>
      </c>
      <c r="W140" s="1" t="s">
        <v>492</v>
      </c>
      <c r="X140" t="s">
        <v>50</v>
      </c>
      <c r="Y140" t="s">
        <v>51</v>
      </c>
      <c r="Z140" t="s">
        <v>52</v>
      </c>
      <c r="AA140" t="s">
        <v>89</v>
      </c>
      <c r="AB140">
        <v>12</v>
      </c>
      <c r="AC140" t="s">
        <v>63</v>
      </c>
      <c r="AD140" t="s">
        <v>64</v>
      </c>
      <c r="AE140">
        <v>3.99</v>
      </c>
      <c r="AF140">
        <v>3</v>
      </c>
      <c r="AG140">
        <v>0</v>
      </c>
      <c r="AH140" s="1">
        <v>46036</v>
      </c>
      <c r="AI140">
        <v>0</v>
      </c>
      <c r="AJ140">
        <v>14</v>
      </c>
      <c r="AK140">
        <v>1</v>
      </c>
      <c r="AL140">
        <v>22.7</v>
      </c>
      <c r="AM140" t="s">
        <v>499</v>
      </c>
      <c r="AN140">
        <v>5</v>
      </c>
      <c r="AO140" t="s">
        <v>508</v>
      </c>
      <c r="AP140">
        <v>4</v>
      </c>
    </row>
    <row r="141" spans="1:42" x14ac:dyDescent="0.2">
      <c r="A141" t="s">
        <v>290</v>
      </c>
      <c r="B141">
        <v>10227</v>
      </c>
      <c r="C141">
        <v>0</v>
      </c>
      <c r="D141">
        <v>0</v>
      </c>
      <c r="E141">
        <v>0</v>
      </c>
      <c r="F141">
        <v>1</v>
      </c>
      <c r="G141">
        <v>5</v>
      </c>
      <c r="H141">
        <v>3</v>
      </c>
      <c r="I141">
        <v>0</v>
      </c>
      <c r="J141" s="2">
        <v>61242</v>
      </c>
      <c r="K141">
        <v>0</v>
      </c>
      <c r="L141">
        <v>19</v>
      </c>
      <c r="M141" t="s">
        <v>43</v>
      </c>
      <c r="N141" t="s">
        <v>44</v>
      </c>
      <c r="O141">
        <v>2081</v>
      </c>
      <c r="P141" s="1">
        <v>31301</v>
      </c>
      <c r="Q141" t="s">
        <v>67</v>
      </c>
      <c r="R141" t="s">
        <v>46</v>
      </c>
      <c r="S141" t="s">
        <v>47</v>
      </c>
      <c r="T141" t="s">
        <v>48</v>
      </c>
      <c r="U141" t="s">
        <v>88</v>
      </c>
      <c r="V141" s="1">
        <v>44140</v>
      </c>
      <c r="W141" s="1" t="s">
        <v>492</v>
      </c>
      <c r="X141" t="s">
        <v>50</v>
      </c>
      <c r="Y141" t="s">
        <v>51</v>
      </c>
      <c r="Z141" t="s">
        <v>52</v>
      </c>
      <c r="AA141" t="s">
        <v>97</v>
      </c>
      <c r="AB141">
        <v>14</v>
      </c>
      <c r="AC141" t="s">
        <v>54</v>
      </c>
      <c r="AD141" t="s">
        <v>64</v>
      </c>
      <c r="AE141">
        <v>4.0999999999999996</v>
      </c>
      <c r="AF141">
        <v>3</v>
      </c>
      <c r="AG141">
        <v>0</v>
      </c>
      <c r="AH141" s="1">
        <v>46039</v>
      </c>
      <c r="AI141">
        <v>0</v>
      </c>
      <c r="AJ141">
        <v>7</v>
      </c>
      <c r="AK141">
        <v>1</v>
      </c>
      <c r="AL141">
        <v>40.799999999999997</v>
      </c>
      <c r="AM141" t="s">
        <v>501</v>
      </c>
      <c r="AN141">
        <v>5.8</v>
      </c>
      <c r="AO141" t="s">
        <v>521</v>
      </c>
      <c r="AP141">
        <v>5</v>
      </c>
    </row>
    <row r="142" spans="1:42" x14ac:dyDescent="0.2">
      <c r="A142" t="s">
        <v>291</v>
      </c>
      <c r="B142">
        <v>10236</v>
      </c>
      <c r="C142">
        <v>0</v>
      </c>
      <c r="D142">
        <v>2</v>
      </c>
      <c r="E142">
        <v>0</v>
      </c>
      <c r="F142">
        <v>1</v>
      </c>
      <c r="G142">
        <v>5</v>
      </c>
      <c r="H142">
        <v>3</v>
      </c>
      <c r="I142">
        <v>0</v>
      </c>
      <c r="J142" s="2">
        <v>45069</v>
      </c>
      <c r="K142">
        <v>0</v>
      </c>
      <c r="L142">
        <v>19</v>
      </c>
      <c r="M142" t="s">
        <v>43</v>
      </c>
      <c r="N142" t="s">
        <v>44</v>
      </c>
      <c r="O142">
        <v>1778</v>
      </c>
      <c r="P142" s="1">
        <v>28936</v>
      </c>
      <c r="Q142" t="s">
        <v>67</v>
      </c>
      <c r="R142" t="s">
        <v>73</v>
      </c>
      <c r="S142" t="s">
        <v>47</v>
      </c>
      <c r="T142" t="s">
        <v>48</v>
      </c>
      <c r="U142" t="s">
        <v>49</v>
      </c>
      <c r="V142" s="1">
        <v>44469</v>
      </c>
      <c r="W142" s="1" t="s">
        <v>492</v>
      </c>
      <c r="X142" t="s">
        <v>50</v>
      </c>
      <c r="Y142" t="s">
        <v>51</v>
      </c>
      <c r="Z142" t="s">
        <v>52</v>
      </c>
      <c r="AA142" t="s">
        <v>69</v>
      </c>
      <c r="AB142">
        <v>20</v>
      </c>
      <c r="AC142" t="s">
        <v>86</v>
      </c>
      <c r="AD142" t="s">
        <v>64</v>
      </c>
      <c r="AE142">
        <v>4.3</v>
      </c>
      <c r="AF142">
        <v>5</v>
      </c>
      <c r="AG142">
        <v>0</v>
      </c>
      <c r="AH142" s="1">
        <v>46075</v>
      </c>
      <c r="AI142">
        <v>0</v>
      </c>
      <c r="AJ142">
        <v>7</v>
      </c>
      <c r="AK142">
        <v>1</v>
      </c>
      <c r="AL142">
        <v>47.5</v>
      </c>
      <c r="AM142" t="s">
        <v>502</v>
      </c>
      <c r="AN142">
        <v>4.8</v>
      </c>
      <c r="AO142" t="s">
        <v>508</v>
      </c>
      <c r="AP142">
        <v>4</v>
      </c>
    </row>
    <row r="143" spans="1:42" x14ac:dyDescent="0.2">
      <c r="A143" t="s">
        <v>292</v>
      </c>
      <c r="B143">
        <v>10009</v>
      </c>
      <c r="C143">
        <v>0</v>
      </c>
      <c r="D143">
        <v>2</v>
      </c>
      <c r="E143">
        <v>0</v>
      </c>
      <c r="F143">
        <v>1</v>
      </c>
      <c r="G143">
        <v>5</v>
      </c>
      <c r="H143">
        <v>4</v>
      </c>
      <c r="I143">
        <v>0</v>
      </c>
      <c r="J143" s="2">
        <v>60724</v>
      </c>
      <c r="K143">
        <v>0</v>
      </c>
      <c r="L143">
        <v>20</v>
      </c>
      <c r="M143" t="s">
        <v>66</v>
      </c>
      <c r="N143" t="s">
        <v>44</v>
      </c>
      <c r="O143">
        <v>1821</v>
      </c>
      <c r="P143" s="1">
        <v>36470</v>
      </c>
      <c r="Q143" t="s">
        <v>67</v>
      </c>
      <c r="R143" t="s">
        <v>73</v>
      </c>
      <c r="S143" t="s">
        <v>47</v>
      </c>
      <c r="T143" t="s">
        <v>48</v>
      </c>
      <c r="U143" t="s">
        <v>262</v>
      </c>
      <c r="V143" s="1">
        <v>43651</v>
      </c>
      <c r="W143" s="1" t="s">
        <v>492</v>
      </c>
      <c r="X143" t="s">
        <v>50</v>
      </c>
      <c r="Y143" t="s">
        <v>51</v>
      </c>
      <c r="Z143" t="s">
        <v>52</v>
      </c>
      <c r="AA143" t="s">
        <v>85</v>
      </c>
      <c r="AB143">
        <v>19</v>
      </c>
      <c r="AC143" t="s">
        <v>54</v>
      </c>
      <c r="AD143" t="s">
        <v>55</v>
      </c>
      <c r="AE143">
        <v>4.5999999999999996</v>
      </c>
      <c r="AF143">
        <v>4</v>
      </c>
      <c r="AG143">
        <v>0</v>
      </c>
      <c r="AH143" s="1">
        <v>46078</v>
      </c>
      <c r="AI143">
        <v>0</v>
      </c>
      <c r="AJ143">
        <v>11</v>
      </c>
      <c r="AK143">
        <v>1</v>
      </c>
      <c r="AL143">
        <v>26.8</v>
      </c>
      <c r="AM143" t="s">
        <v>500</v>
      </c>
      <c r="AN143">
        <v>7.1</v>
      </c>
      <c r="AO143" t="s">
        <v>521</v>
      </c>
      <c r="AP143">
        <v>5</v>
      </c>
    </row>
    <row r="144" spans="1:42" x14ac:dyDescent="0.2">
      <c r="A144" t="s">
        <v>293</v>
      </c>
      <c r="B144">
        <v>10060</v>
      </c>
      <c r="C144">
        <v>0</v>
      </c>
      <c r="D144">
        <v>3</v>
      </c>
      <c r="E144">
        <v>0</v>
      </c>
      <c r="F144">
        <v>1</v>
      </c>
      <c r="G144">
        <v>5</v>
      </c>
      <c r="H144">
        <v>3</v>
      </c>
      <c r="I144">
        <v>0</v>
      </c>
      <c r="J144" s="2">
        <v>60436</v>
      </c>
      <c r="K144">
        <v>0</v>
      </c>
      <c r="L144">
        <v>19</v>
      </c>
      <c r="M144" t="s">
        <v>43</v>
      </c>
      <c r="N144" t="s">
        <v>44</v>
      </c>
      <c r="O144">
        <v>2109</v>
      </c>
      <c r="P144" s="1">
        <v>28228</v>
      </c>
      <c r="Q144" t="s">
        <v>67</v>
      </c>
      <c r="R144" t="s">
        <v>143</v>
      </c>
      <c r="S144" t="s">
        <v>47</v>
      </c>
      <c r="T144" t="s">
        <v>48</v>
      </c>
      <c r="U144" t="s">
        <v>49</v>
      </c>
      <c r="V144" s="1">
        <v>44567</v>
      </c>
      <c r="W144" s="1" t="s">
        <v>492</v>
      </c>
      <c r="X144" t="s">
        <v>50</v>
      </c>
      <c r="Y144" t="s">
        <v>51</v>
      </c>
      <c r="Z144" t="s">
        <v>52</v>
      </c>
      <c r="AA144" t="s">
        <v>105</v>
      </c>
      <c r="AB144">
        <v>18</v>
      </c>
      <c r="AC144" t="s">
        <v>54</v>
      </c>
      <c r="AD144" t="s">
        <v>64</v>
      </c>
      <c r="AE144">
        <v>5</v>
      </c>
      <c r="AF144">
        <v>5</v>
      </c>
      <c r="AG144">
        <v>0</v>
      </c>
      <c r="AH144" s="1">
        <v>46043</v>
      </c>
      <c r="AI144">
        <v>0</v>
      </c>
      <c r="AJ144">
        <v>9</v>
      </c>
      <c r="AK144">
        <v>1</v>
      </c>
      <c r="AL144">
        <v>49.4</v>
      </c>
      <c r="AM144" t="s">
        <v>502</v>
      </c>
      <c r="AN144">
        <v>4.7</v>
      </c>
      <c r="AO144" t="s">
        <v>508</v>
      </c>
      <c r="AP144">
        <v>4</v>
      </c>
    </row>
    <row r="145" spans="1:42" x14ac:dyDescent="0.2">
      <c r="A145" t="s">
        <v>294</v>
      </c>
      <c r="B145">
        <v>10034</v>
      </c>
      <c r="C145">
        <v>1</v>
      </c>
      <c r="D145">
        <v>1</v>
      </c>
      <c r="E145">
        <v>1</v>
      </c>
      <c r="F145">
        <v>5</v>
      </c>
      <c r="G145">
        <v>5</v>
      </c>
      <c r="H145">
        <v>4</v>
      </c>
      <c r="I145">
        <v>0</v>
      </c>
      <c r="J145" s="2">
        <v>46837</v>
      </c>
      <c r="K145">
        <v>1</v>
      </c>
      <c r="L145">
        <v>19</v>
      </c>
      <c r="M145" t="s">
        <v>43</v>
      </c>
      <c r="N145" t="s">
        <v>44</v>
      </c>
      <c r="O145">
        <v>2445</v>
      </c>
      <c r="P145" s="1">
        <v>26530</v>
      </c>
      <c r="Q145" t="s">
        <v>45</v>
      </c>
      <c r="R145" t="s">
        <v>58</v>
      </c>
      <c r="S145" t="s">
        <v>47</v>
      </c>
      <c r="T145" t="s">
        <v>48</v>
      </c>
      <c r="U145" t="s">
        <v>49</v>
      </c>
      <c r="V145" s="1">
        <v>43776</v>
      </c>
      <c r="W145" s="1">
        <v>46141</v>
      </c>
      <c r="X145" t="s">
        <v>198</v>
      </c>
      <c r="Y145" t="s">
        <v>60</v>
      </c>
      <c r="Z145" t="s">
        <v>52</v>
      </c>
      <c r="AA145" t="s">
        <v>53</v>
      </c>
      <c r="AB145">
        <v>22</v>
      </c>
      <c r="AC145" t="s">
        <v>123</v>
      </c>
      <c r="AD145" t="s">
        <v>55</v>
      </c>
      <c r="AE145">
        <v>4.7</v>
      </c>
      <c r="AF145">
        <v>4</v>
      </c>
      <c r="AG145">
        <v>0</v>
      </c>
      <c r="AH145" s="1">
        <v>45702</v>
      </c>
      <c r="AI145">
        <v>0</v>
      </c>
      <c r="AJ145">
        <v>9</v>
      </c>
      <c r="AK145">
        <v>0</v>
      </c>
      <c r="AL145">
        <v>54</v>
      </c>
      <c r="AM145" t="s">
        <v>502</v>
      </c>
      <c r="AN145">
        <v>6.8</v>
      </c>
      <c r="AO145" t="s">
        <v>521</v>
      </c>
      <c r="AP145">
        <v>5</v>
      </c>
    </row>
    <row r="146" spans="1:42" x14ac:dyDescent="0.2">
      <c r="A146" t="s">
        <v>295</v>
      </c>
      <c r="B146">
        <v>10156</v>
      </c>
      <c r="C146">
        <v>1</v>
      </c>
      <c r="D146">
        <v>1</v>
      </c>
      <c r="E146">
        <v>0</v>
      </c>
      <c r="F146">
        <v>3</v>
      </c>
      <c r="G146">
        <v>3</v>
      </c>
      <c r="H146">
        <v>3</v>
      </c>
      <c r="I146">
        <v>0</v>
      </c>
      <c r="J146" s="2">
        <v>105700</v>
      </c>
      <c r="K146">
        <v>0</v>
      </c>
      <c r="L146">
        <v>8</v>
      </c>
      <c r="M146" t="s">
        <v>115</v>
      </c>
      <c r="N146" t="s">
        <v>44</v>
      </c>
      <c r="O146">
        <v>2301</v>
      </c>
      <c r="P146" s="1">
        <v>36471</v>
      </c>
      <c r="Q146" t="s">
        <v>67</v>
      </c>
      <c r="R146" t="s">
        <v>58</v>
      </c>
      <c r="S146" t="s">
        <v>47</v>
      </c>
      <c r="T146" t="s">
        <v>48</v>
      </c>
      <c r="U146" t="s">
        <v>118</v>
      </c>
      <c r="V146" s="1">
        <v>44931</v>
      </c>
      <c r="W146" s="1" t="s">
        <v>492</v>
      </c>
      <c r="X146" t="s">
        <v>50</v>
      </c>
      <c r="Y146" t="s">
        <v>51</v>
      </c>
      <c r="Z146" t="s">
        <v>61</v>
      </c>
      <c r="AA146" t="s">
        <v>62</v>
      </c>
      <c r="AB146">
        <v>4</v>
      </c>
      <c r="AC146" t="s">
        <v>63</v>
      </c>
      <c r="AD146" t="s">
        <v>64</v>
      </c>
      <c r="AE146">
        <v>3.75</v>
      </c>
      <c r="AF146">
        <v>3</v>
      </c>
      <c r="AG146">
        <v>5</v>
      </c>
      <c r="AH146" s="1">
        <v>46064</v>
      </c>
      <c r="AI146">
        <v>0</v>
      </c>
      <c r="AJ146">
        <v>2</v>
      </c>
      <c r="AK146">
        <v>1</v>
      </c>
      <c r="AL146">
        <v>26.8</v>
      </c>
      <c r="AM146" t="s">
        <v>500</v>
      </c>
      <c r="AN146">
        <v>3.7</v>
      </c>
      <c r="AO146" t="s">
        <v>508</v>
      </c>
      <c r="AP146">
        <v>4</v>
      </c>
    </row>
    <row r="147" spans="1:42" x14ac:dyDescent="0.2">
      <c r="A147" t="s">
        <v>296</v>
      </c>
      <c r="B147">
        <v>10036</v>
      </c>
      <c r="C147">
        <v>0</v>
      </c>
      <c r="D147">
        <v>0</v>
      </c>
      <c r="E147">
        <v>0</v>
      </c>
      <c r="F147">
        <v>1</v>
      </c>
      <c r="G147">
        <v>5</v>
      </c>
      <c r="H147">
        <v>4</v>
      </c>
      <c r="I147">
        <v>0</v>
      </c>
      <c r="J147" s="2">
        <v>63322</v>
      </c>
      <c r="K147">
        <v>0</v>
      </c>
      <c r="L147">
        <v>20</v>
      </c>
      <c r="M147" t="s">
        <v>66</v>
      </c>
      <c r="N147" t="s">
        <v>44</v>
      </c>
      <c r="O147">
        <v>2128</v>
      </c>
      <c r="P147" s="1">
        <v>30202</v>
      </c>
      <c r="Q147" t="s">
        <v>67</v>
      </c>
      <c r="R147" t="s">
        <v>46</v>
      </c>
      <c r="S147" t="s">
        <v>47</v>
      </c>
      <c r="T147" t="s">
        <v>48</v>
      </c>
      <c r="U147" t="s">
        <v>49</v>
      </c>
      <c r="V147" s="1">
        <v>44749</v>
      </c>
      <c r="W147" s="1" t="s">
        <v>492</v>
      </c>
      <c r="X147" t="s">
        <v>50</v>
      </c>
      <c r="Y147" t="s">
        <v>51</v>
      </c>
      <c r="Z147" t="s">
        <v>52</v>
      </c>
      <c r="AA147" t="s">
        <v>89</v>
      </c>
      <c r="AB147">
        <v>12</v>
      </c>
      <c r="AC147" t="s">
        <v>54</v>
      </c>
      <c r="AD147" t="s">
        <v>55</v>
      </c>
      <c r="AE147">
        <v>4.3</v>
      </c>
      <c r="AF147">
        <v>3</v>
      </c>
      <c r="AG147">
        <v>0</v>
      </c>
      <c r="AH147" s="1">
        <v>46033</v>
      </c>
      <c r="AI147">
        <v>0</v>
      </c>
      <c r="AJ147">
        <v>1</v>
      </c>
      <c r="AK147">
        <v>1</v>
      </c>
      <c r="AL147">
        <v>43.8</v>
      </c>
      <c r="AM147" t="s">
        <v>501</v>
      </c>
      <c r="AN147">
        <v>4.0999999999999996</v>
      </c>
      <c r="AO147" t="s">
        <v>508</v>
      </c>
      <c r="AP147">
        <v>4</v>
      </c>
    </row>
    <row r="148" spans="1:42" x14ac:dyDescent="0.2">
      <c r="A148" t="s">
        <v>297</v>
      </c>
      <c r="B148">
        <v>10138</v>
      </c>
      <c r="C148">
        <v>1</v>
      </c>
      <c r="D148">
        <v>1</v>
      </c>
      <c r="E148">
        <v>0</v>
      </c>
      <c r="F148">
        <v>5</v>
      </c>
      <c r="G148">
        <v>5</v>
      </c>
      <c r="H148">
        <v>3</v>
      </c>
      <c r="I148">
        <v>0</v>
      </c>
      <c r="J148" s="2">
        <v>61154</v>
      </c>
      <c r="K148">
        <v>1</v>
      </c>
      <c r="L148">
        <v>19</v>
      </c>
      <c r="M148" t="s">
        <v>43</v>
      </c>
      <c r="N148" t="s">
        <v>44</v>
      </c>
      <c r="O148">
        <v>2446</v>
      </c>
      <c r="P148" s="1">
        <v>36267</v>
      </c>
      <c r="Q148" t="s">
        <v>67</v>
      </c>
      <c r="R148" t="s">
        <v>58</v>
      </c>
      <c r="S148" t="s">
        <v>47</v>
      </c>
      <c r="T148" t="s">
        <v>48</v>
      </c>
      <c r="U148" t="s">
        <v>88</v>
      </c>
      <c r="V148" s="1">
        <v>43475</v>
      </c>
      <c r="W148" s="1">
        <v>45383</v>
      </c>
      <c r="X148" t="s">
        <v>99</v>
      </c>
      <c r="Y148" t="s">
        <v>60</v>
      </c>
      <c r="Z148" t="s">
        <v>52</v>
      </c>
      <c r="AA148" t="s">
        <v>71</v>
      </c>
      <c r="AB148">
        <v>16</v>
      </c>
      <c r="AC148" t="s">
        <v>123</v>
      </c>
      <c r="AD148" t="s">
        <v>64</v>
      </c>
      <c r="AE148">
        <v>4</v>
      </c>
      <c r="AF148">
        <v>4</v>
      </c>
      <c r="AG148">
        <v>0</v>
      </c>
      <c r="AH148" s="1">
        <v>44960</v>
      </c>
      <c r="AI148">
        <v>0</v>
      </c>
      <c r="AJ148">
        <v>4</v>
      </c>
      <c r="AK148">
        <v>0</v>
      </c>
      <c r="AL148">
        <v>27.4</v>
      </c>
      <c r="AM148" t="s">
        <v>500</v>
      </c>
      <c r="AN148">
        <v>7.7</v>
      </c>
      <c r="AO148" t="s">
        <v>521</v>
      </c>
      <c r="AP148">
        <v>5</v>
      </c>
    </row>
    <row r="149" spans="1:42" x14ac:dyDescent="0.2">
      <c r="A149" t="s">
        <v>298</v>
      </c>
      <c r="B149">
        <v>10244</v>
      </c>
      <c r="C149">
        <v>0</v>
      </c>
      <c r="D149">
        <v>0</v>
      </c>
      <c r="E149">
        <v>0</v>
      </c>
      <c r="F149">
        <v>5</v>
      </c>
      <c r="G149">
        <v>6</v>
      </c>
      <c r="H149">
        <v>3</v>
      </c>
      <c r="I149">
        <v>0</v>
      </c>
      <c r="J149" s="2">
        <v>68999</v>
      </c>
      <c r="K149">
        <v>1</v>
      </c>
      <c r="L149">
        <v>21</v>
      </c>
      <c r="M149" t="s">
        <v>186</v>
      </c>
      <c r="N149" t="s">
        <v>299</v>
      </c>
      <c r="O149">
        <v>19444</v>
      </c>
      <c r="P149" s="1">
        <v>37571</v>
      </c>
      <c r="Q149" t="s">
        <v>67</v>
      </c>
      <c r="R149" t="s">
        <v>46</v>
      </c>
      <c r="S149" t="s">
        <v>47</v>
      </c>
      <c r="T149" t="s">
        <v>48</v>
      </c>
      <c r="U149" t="s">
        <v>49</v>
      </c>
      <c r="V149" s="1">
        <v>43776</v>
      </c>
      <c r="W149" s="1">
        <v>44675</v>
      </c>
      <c r="X149" t="s">
        <v>300</v>
      </c>
      <c r="Y149" t="s">
        <v>60</v>
      </c>
      <c r="Z149" t="s">
        <v>5</v>
      </c>
      <c r="AA149" t="s">
        <v>187</v>
      </c>
      <c r="AB149">
        <v>15</v>
      </c>
      <c r="AC149" t="s">
        <v>76</v>
      </c>
      <c r="AD149" t="s">
        <v>64</v>
      </c>
      <c r="AE149">
        <v>4.5</v>
      </c>
      <c r="AF149">
        <v>5</v>
      </c>
      <c r="AG149">
        <v>0</v>
      </c>
      <c r="AH149" s="1">
        <v>43920</v>
      </c>
      <c r="AI149">
        <v>0</v>
      </c>
      <c r="AJ149">
        <v>2</v>
      </c>
      <c r="AK149">
        <v>0</v>
      </c>
      <c r="AL149">
        <v>23.8</v>
      </c>
      <c r="AM149" t="s">
        <v>499</v>
      </c>
      <c r="AN149">
        <v>6.8</v>
      </c>
      <c r="AO149" t="s">
        <v>521</v>
      </c>
      <c r="AP149">
        <v>5</v>
      </c>
    </row>
    <row r="150" spans="1:42" x14ac:dyDescent="0.2">
      <c r="A150" t="s">
        <v>301</v>
      </c>
      <c r="B150">
        <v>10192</v>
      </c>
      <c r="C150">
        <v>0</v>
      </c>
      <c r="D150">
        <v>0</v>
      </c>
      <c r="E150">
        <v>1</v>
      </c>
      <c r="F150">
        <v>1</v>
      </c>
      <c r="G150">
        <v>5</v>
      </c>
      <c r="H150">
        <v>3</v>
      </c>
      <c r="I150">
        <v>0</v>
      </c>
      <c r="J150" s="2">
        <v>50482</v>
      </c>
      <c r="K150">
        <v>0</v>
      </c>
      <c r="L150">
        <v>19</v>
      </c>
      <c r="M150" t="s">
        <v>43</v>
      </c>
      <c r="N150" t="s">
        <v>44</v>
      </c>
      <c r="O150">
        <v>1887</v>
      </c>
      <c r="P150" s="1">
        <v>32527</v>
      </c>
      <c r="Q150" t="s">
        <v>45</v>
      </c>
      <c r="R150" t="s">
        <v>46</v>
      </c>
      <c r="S150" t="s">
        <v>47</v>
      </c>
      <c r="T150" t="s">
        <v>48</v>
      </c>
      <c r="U150" t="s">
        <v>49</v>
      </c>
      <c r="V150" s="1">
        <v>44469</v>
      </c>
      <c r="W150" s="1" t="s">
        <v>492</v>
      </c>
      <c r="X150" t="s">
        <v>50</v>
      </c>
      <c r="Y150" t="s">
        <v>51</v>
      </c>
      <c r="Z150" t="s">
        <v>52</v>
      </c>
      <c r="AA150" t="s">
        <v>53</v>
      </c>
      <c r="AB150">
        <v>22</v>
      </c>
      <c r="AC150" t="s">
        <v>63</v>
      </c>
      <c r="AD150" t="s">
        <v>64</v>
      </c>
      <c r="AE150">
        <v>3.07</v>
      </c>
      <c r="AF150">
        <v>4</v>
      </c>
      <c r="AG150">
        <v>0</v>
      </c>
      <c r="AH150" s="1">
        <v>46045</v>
      </c>
      <c r="AI150">
        <v>0</v>
      </c>
      <c r="AJ150">
        <v>10</v>
      </c>
      <c r="AK150">
        <v>1</v>
      </c>
      <c r="AL150">
        <v>37.700000000000003</v>
      </c>
      <c r="AM150" t="s">
        <v>501</v>
      </c>
      <c r="AN150">
        <v>4.8</v>
      </c>
      <c r="AO150" t="s">
        <v>508</v>
      </c>
      <c r="AP150">
        <v>4</v>
      </c>
    </row>
    <row r="151" spans="1:42" x14ac:dyDescent="0.2">
      <c r="A151" t="s">
        <v>302</v>
      </c>
      <c r="B151">
        <v>10231</v>
      </c>
      <c r="C151">
        <v>0</v>
      </c>
      <c r="D151">
        <v>0</v>
      </c>
      <c r="E151">
        <v>1</v>
      </c>
      <c r="F151">
        <v>1</v>
      </c>
      <c r="G151">
        <v>6</v>
      </c>
      <c r="H151">
        <v>3</v>
      </c>
      <c r="I151">
        <v>0</v>
      </c>
      <c r="J151" s="2">
        <v>65310</v>
      </c>
      <c r="K151">
        <v>0</v>
      </c>
      <c r="L151">
        <v>3</v>
      </c>
      <c r="M151" t="s">
        <v>145</v>
      </c>
      <c r="N151" t="s">
        <v>303</v>
      </c>
      <c r="O151">
        <v>80820</v>
      </c>
      <c r="P151" s="1">
        <v>33935</v>
      </c>
      <c r="Q151" t="s">
        <v>45</v>
      </c>
      <c r="R151" t="s">
        <v>46</v>
      </c>
      <c r="S151" t="s">
        <v>47</v>
      </c>
      <c r="T151" t="s">
        <v>48</v>
      </c>
      <c r="U151" t="s">
        <v>49</v>
      </c>
      <c r="V151" s="1">
        <v>44427</v>
      </c>
      <c r="W151" s="1" t="s">
        <v>492</v>
      </c>
      <c r="X151" t="s">
        <v>50</v>
      </c>
      <c r="Y151" t="s">
        <v>51</v>
      </c>
      <c r="Z151" t="s">
        <v>5</v>
      </c>
      <c r="AA151" t="s">
        <v>165</v>
      </c>
      <c r="AB151">
        <v>21</v>
      </c>
      <c r="AC151" t="s">
        <v>63</v>
      </c>
      <c r="AD151" t="s">
        <v>64</v>
      </c>
      <c r="AE151">
        <v>4.3</v>
      </c>
      <c r="AF151">
        <v>5</v>
      </c>
      <c r="AG151">
        <v>0</v>
      </c>
      <c r="AH151" s="1">
        <v>46044</v>
      </c>
      <c r="AI151">
        <v>0</v>
      </c>
      <c r="AJ151">
        <v>13</v>
      </c>
      <c r="AK151">
        <v>1</v>
      </c>
      <c r="AL151">
        <v>33.799999999999997</v>
      </c>
      <c r="AM151" t="s">
        <v>500</v>
      </c>
      <c r="AN151">
        <v>5</v>
      </c>
      <c r="AO151" t="s">
        <v>508</v>
      </c>
      <c r="AP151">
        <v>4</v>
      </c>
    </row>
    <row r="152" spans="1:42" x14ac:dyDescent="0.2">
      <c r="A152" t="s">
        <v>304</v>
      </c>
      <c r="B152">
        <v>10089</v>
      </c>
      <c r="C152">
        <v>1</v>
      </c>
      <c r="D152">
        <v>1</v>
      </c>
      <c r="E152">
        <v>0</v>
      </c>
      <c r="F152">
        <v>1</v>
      </c>
      <c r="G152">
        <v>2</v>
      </c>
      <c r="H152">
        <v>3</v>
      </c>
      <c r="I152">
        <v>0</v>
      </c>
      <c r="J152" s="2">
        <v>250000</v>
      </c>
      <c r="K152">
        <v>0</v>
      </c>
      <c r="L152">
        <v>16</v>
      </c>
      <c r="M152" t="s">
        <v>305</v>
      </c>
      <c r="N152" t="s">
        <v>44</v>
      </c>
      <c r="O152">
        <v>1902</v>
      </c>
      <c r="P152" s="1">
        <v>24736</v>
      </c>
      <c r="Q152" t="s">
        <v>67</v>
      </c>
      <c r="R152" t="s">
        <v>58</v>
      </c>
      <c r="S152" t="s">
        <v>47</v>
      </c>
      <c r="T152" t="s">
        <v>95</v>
      </c>
      <c r="U152" t="s">
        <v>49</v>
      </c>
      <c r="V152" s="1">
        <v>44014</v>
      </c>
      <c r="W152" s="1" t="s">
        <v>492</v>
      </c>
      <c r="X152" t="s">
        <v>50</v>
      </c>
      <c r="Y152" t="s">
        <v>51</v>
      </c>
      <c r="Z152" t="s">
        <v>306</v>
      </c>
      <c r="AA152" t="s">
        <v>240</v>
      </c>
      <c r="AB152">
        <v>9</v>
      </c>
      <c r="AC152" t="s">
        <v>63</v>
      </c>
      <c r="AD152" t="s">
        <v>64</v>
      </c>
      <c r="AE152">
        <v>4.83</v>
      </c>
      <c r="AF152">
        <v>3</v>
      </c>
      <c r="AG152">
        <v>0</v>
      </c>
      <c r="AH152" s="1">
        <v>46039</v>
      </c>
      <c r="AI152">
        <v>0</v>
      </c>
      <c r="AJ152">
        <v>10</v>
      </c>
      <c r="AK152">
        <v>1</v>
      </c>
      <c r="AL152">
        <v>58.8</v>
      </c>
      <c r="AM152" t="s">
        <v>518</v>
      </c>
      <c r="AN152">
        <v>6.1</v>
      </c>
      <c r="AO152" t="s">
        <v>521</v>
      </c>
      <c r="AP152">
        <v>5</v>
      </c>
    </row>
    <row r="153" spans="1:42" x14ac:dyDescent="0.2">
      <c r="A153" t="s">
        <v>307</v>
      </c>
      <c r="B153">
        <v>10166</v>
      </c>
      <c r="C153">
        <v>1</v>
      </c>
      <c r="D153">
        <v>1</v>
      </c>
      <c r="E153">
        <v>0</v>
      </c>
      <c r="F153">
        <v>5</v>
      </c>
      <c r="G153">
        <v>5</v>
      </c>
      <c r="H153">
        <v>3</v>
      </c>
      <c r="I153">
        <v>0</v>
      </c>
      <c r="J153" s="2">
        <v>54005</v>
      </c>
      <c r="K153">
        <v>1</v>
      </c>
      <c r="L153">
        <v>19</v>
      </c>
      <c r="M153" t="s">
        <v>43</v>
      </c>
      <c r="N153" t="s">
        <v>44</v>
      </c>
      <c r="O153">
        <v>2170</v>
      </c>
      <c r="P153" s="1">
        <v>31754</v>
      </c>
      <c r="Q153" t="s">
        <v>67</v>
      </c>
      <c r="R153" t="s">
        <v>58</v>
      </c>
      <c r="S153" t="s">
        <v>47</v>
      </c>
      <c r="T153" t="s">
        <v>48</v>
      </c>
      <c r="U153" t="s">
        <v>49</v>
      </c>
      <c r="V153" s="1">
        <v>43734</v>
      </c>
      <c r="W153" s="1">
        <v>45081</v>
      </c>
      <c r="X153" t="s">
        <v>198</v>
      </c>
      <c r="Y153" t="s">
        <v>60</v>
      </c>
      <c r="Z153" t="s">
        <v>52</v>
      </c>
      <c r="AA153" t="s">
        <v>75</v>
      </c>
      <c r="AB153">
        <v>39</v>
      </c>
      <c r="AC153" t="s">
        <v>76</v>
      </c>
      <c r="AD153" t="s">
        <v>64</v>
      </c>
      <c r="AE153">
        <v>3.6</v>
      </c>
      <c r="AF153">
        <v>5</v>
      </c>
      <c r="AG153">
        <v>0</v>
      </c>
      <c r="AH153" s="1">
        <v>44621</v>
      </c>
      <c r="AI153">
        <v>0</v>
      </c>
      <c r="AJ153">
        <v>16</v>
      </c>
      <c r="AK153">
        <v>0</v>
      </c>
      <c r="AL153">
        <v>39.799999999999997</v>
      </c>
      <c r="AM153" t="s">
        <v>501</v>
      </c>
      <c r="AN153">
        <v>6.8</v>
      </c>
      <c r="AO153" t="s">
        <v>521</v>
      </c>
      <c r="AP153">
        <v>5</v>
      </c>
    </row>
    <row r="154" spans="1:42" x14ac:dyDescent="0.2">
      <c r="A154" t="s">
        <v>308</v>
      </c>
      <c r="B154">
        <v>10170</v>
      </c>
      <c r="C154">
        <v>1</v>
      </c>
      <c r="D154">
        <v>1</v>
      </c>
      <c r="E154">
        <v>0</v>
      </c>
      <c r="F154">
        <v>5</v>
      </c>
      <c r="G154">
        <v>5</v>
      </c>
      <c r="H154">
        <v>3</v>
      </c>
      <c r="I154">
        <v>0</v>
      </c>
      <c r="J154" s="2">
        <v>45433</v>
      </c>
      <c r="K154">
        <v>1</v>
      </c>
      <c r="L154">
        <v>19</v>
      </c>
      <c r="M154" t="s">
        <v>43</v>
      </c>
      <c r="N154" t="s">
        <v>44</v>
      </c>
      <c r="O154">
        <v>2127</v>
      </c>
      <c r="P154" s="1">
        <v>30597</v>
      </c>
      <c r="Q154" t="s">
        <v>67</v>
      </c>
      <c r="R154" t="s">
        <v>58</v>
      </c>
      <c r="S154" t="s">
        <v>47</v>
      </c>
      <c r="T154" t="s">
        <v>48</v>
      </c>
      <c r="U154" t="s">
        <v>49</v>
      </c>
      <c r="V154" s="1">
        <v>43734</v>
      </c>
      <c r="W154" s="1">
        <v>44570</v>
      </c>
      <c r="X154" t="s">
        <v>198</v>
      </c>
      <c r="Y154" t="s">
        <v>60</v>
      </c>
      <c r="Z154" t="s">
        <v>52</v>
      </c>
      <c r="AA154" t="s">
        <v>78</v>
      </c>
      <c r="AB154">
        <v>11</v>
      </c>
      <c r="AC154" t="s">
        <v>76</v>
      </c>
      <c r="AD154" t="s">
        <v>64</v>
      </c>
      <c r="AE154">
        <v>3.49</v>
      </c>
      <c r="AF154">
        <v>4</v>
      </c>
      <c r="AG154">
        <v>0</v>
      </c>
      <c r="AH154" s="1">
        <v>43860</v>
      </c>
      <c r="AI154">
        <v>0</v>
      </c>
      <c r="AJ154">
        <v>6</v>
      </c>
      <c r="AK154">
        <v>0</v>
      </c>
      <c r="AL154">
        <v>42.8</v>
      </c>
      <c r="AM154" t="s">
        <v>501</v>
      </c>
      <c r="AN154">
        <v>6.8</v>
      </c>
      <c r="AO154" t="s">
        <v>521</v>
      </c>
      <c r="AP154">
        <v>5</v>
      </c>
    </row>
    <row r="155" spans="1:42" x14ac:dyDescent="0.2">
      <c r="A155" t="s">
        <v>309</v>
      </c>
      <c r="B155">
        <v>10208</v>
      </c>
      <c r="C155">
        <v>0</v>
      </c>
      <c r="D155">
        <v>0</v>
      </c>
      <c r="E155">
        <v>1</v>
      </c>
      <c r="F155">
        <v>1</v>
      </c>
      <c r="G155">
        <v>5</v>
      </c>
      <c r="H155">
        <v>3</v>
      </c>
      <c r="I155">
        <v>0</v>
      </c>
      <c r="J155" s="2">
        <v>46654</v>
      </c>
      <c r="K155">
        <v>0</v>
      </c>
      <c r="L155">
        <v>19</v>
      </c>
      <c r="M155" t="s">
        <v>43</v>
      </c>
      <c r="N155" t="s">
        <v>44</v>
      </c>
      <c r="O155">
        <v>1721</v>
      </c>
      <c r="P155" s="1">
        <v>33187</v>
      </c>
      <c r="Q155" t="s">
        <v>45</v>
      </c>
      <c r="R155" t="s">
        <v>46</v>
      </c>
      <c r="S155" t="s">
        <v>47</v>
      </c>
      <c r="T155" t="s">
        <v>48</v>
      </c>
      <c r="U155" t="s">
        <v>88</v>
      </c>
      <c r="V155" s="1">
        <v>44609</v>
      </c>
      <c r="W155" s="1" t="s">
        <v>492</v>
      </c>
      <c r="X155" t="s">
        <v>50</v>
      </c>
      <c r="Y155" t="s">
        <v>51</v>
      </c>
      <c r="Z155" t="s">
        <v>52</v>
      </c>
      <c r="AA155" t="s">
        <v>85</v>
      </c>
      <c r="AB155">
        <v>19</v>
      </c>
      <c r="AC155" t="s">
        <v>54</v>
      </c>
      <c r="AD155" t="s">
        <v>64</v>
      </c>
      <c r="AE155">
        <v>3.1</v>
      </c>
      <c r="AF155">
        <v>3</v>
      </c>
      <c r="AG155">
        <v>0</v>
      </c>
      <c r="AH155" s="1">
        <v>46059</v>
      </c>
      <c r="AI155">
        <v>0</v>
      </c>
      <c r="AJ155">
        <v>3</v>
      </c>
      <c r="AK155">
        <v>1</v>
      </c>
      <c r="AL155">
        <v>35.799999999999997</v>
      </c>
      <c r="AM155" t="s">
        <v>501</v>
      </c>
      <c r="AN155">
        <v>4.5999999999999996</v>
      </c>
      <c r="AO155" t="s">
        <v>508</v>
      </c>
      <c r="AP155">
        <v>4</v>
      </c>
    </row>
    <row r="156" spans="1:42" x14ac:dyDescent="0.2">
      <c r="A156" t="s">
        <v>310</v>
      </c>
      <c r="B156">
        <v>10176</v>
      </c>
      <c r="C156">
        <v>1</v>
      </c>
      <c r="D156">
        <v>1</v>
      </c>
      <c r="E156">
        <v>1</v>
      </c>
      <c r="F156">
        <v>1</v>
      </c>
      <c r="G156">
        <v>5</v>
      </c>
      <c r="H156">
        <v>3</v>
      </c>
      <c r="I156">
        <v>0</v>
      </c>
      <c r="J156" s="2">
        <v>63973</v>
      </c>
      <c r="K156">
        <v>0</v>
      </c>
      <c r="L156">
        <v>19</v>
      </c>
      <c r="M156" t="s">
        <v>43</v>
      </c>
      <c r="N156" t="s">
        <v>44</v>
      </c>
      <c r="O156">
        <v>1801</v>
      </c>
      <c r="P156" s="1">
        <v>34002</v>
      </c>
      <c r="Q156" t="s">
        <v>45</v>
      </c>
      <c r="R156" t="s">
        <v>58</v>
      </c>
      <c r="S156" t="s">
        <v>47</v>
      </c>
      <c r="T156" t="s">
        <v>48</v>
      </c>
      <c r="U156" t="s">
        <v>118</v>
      </c>
      <c r="V156" s="1">
        <v>43475</v>
      </c>
      <c r="W156" s="1" t="s">
        <v>492</v>
      </c>
      <c r="X156" t="s">
        <v>50</v>
      </c>
      <c r="Y156" t="s">
        <v>51</v>
      </c>
      <c r="Z156" t="s">
        <v>52</v>
      </c>
      <c r="AA156" t="s">
        <v>89</v>
      </c>
      <c r="AB156">
        <v>12</v>
      </c>
      <c r="AC156" t="s">
        <v>63</v>
      </c>
      <c r="AD156" t="s">
        <v>64</v>
      </c>
      <c r="AE156">
        <v>3.38</v>
      </c>
      <c r="AF156">
        <v>3</v>
      </c>
      <c r="AG156">
        <v>0</v>
      </c>
      <c r="AH156" s="1">
        <v>46043</v>
      </c>
      <c r="AI156">
        <v>0</v>
      </c>
      <c r="AJ156">
        <v>17</v>
      </c>
      <c r="AK156">
        <v>1</v>
      </c>
      <c r="AL156">
        <v>33.6</v>
      </c>
      <c r="AM156" t="s">
        <v>500</v>
      </c>
      <c r="AN156">
        <v>7.7</v>
      </c>
      <c r="AO156" t="s">
        <v>521</v>
      </c>
      <c r="AP156">
        <v>5</v>
      </c>
    </row>
    <row r="157" spans="1:42" x14ac:dyDescent="0.2">
      <c r="A157" t="s">
        <v>311</v>
      </c>
      <c r="B157">
        <v>10165</v>
      </c>
      <c r="C157">
        <v>0</v>
      </c>
      <c r="D157">
        <v>0</v>
      </c>
      <c r="E157">
        <v>1</v>
      </c>
      <c r="F157">
        <v>1</v>
      </c>
      <c r="G157">
        <v>6</v>
      </c>
      <c r="H157">
        <v>3</v>
      </c>
      <c r="I157">
        <v>1</v>
      </c>
      <c r="J157" s="2">
        <v>71339</v>
      </c>
      <c r="K157">
        <v>0</v>
      </c>
      <c r="L157">
        <v>3</v>
      </c>
      <c r="M157" t="s">
        <v>145</v>
      </c>
      <c r="N157" t="s">
        <v>312</v>
      </c>
      <c r="O157">
        <v>10171</v>
      </c>
      <c r="P157" s="1">
        <v>30006</v>
      </c>
      <c r="Q157" t="s">
        <v>45</v>
      </c>
      <c r="R157" t="s">
        <v>46</v>
      </c>
      <c r="S157" t="s">
        <v>47</v>
      </c>
      <c r="T157" t="s">
        <v>95</v>
      </c>
      <c r="U157" t="s">
        <v>88</v>
      </c>
      <c r="V157" s="1">
        <v>43531</v>
      </c>
      <c r="W157" s="1" t="s">
        <v>492</v>
      </c>
      <c r="X157" t="s">
        <v>50</v>
      </c>
      <c r="Y157" t="s">
        <v>51</v>
      </c>
      <c r="Z157" t="s">
        <v>5</v>
      </c>
      <c r="AA157" t="s">
        <v>147</v>
      </c>
      <c r="AB157">
        <v>17</v>
      </c>
      <c r="AC157" t="s">
        <v>90</v>
      </c>
      <c r="AD157" t="s">
        <v>64</v>
      </c>
      <c r="AE157">
        <v>3.65</v>
      </c>
      <c r="AF157">
        <v>5</v>
      </c>
      <c r="AG157">
        <v>0</v>
      </c>
      <c r="AH157" s="1">
        <v>46039</v>
      </c>
      <c r="AI157">
        <v>0</v>
      </c>
      <c r="AJ157">
        <v>20</v>
      </c>
      <c r="AK157">
        <v>1</v>
      </c>
      <c r="AL157">
        <v>44.6</v>
      </c>
      <c r="AM157" t="s">
        <v>501</v>
      </c>
      <c r="AN157">
        <v>7.5</v>
      </c>
      <c r="AO157" t="s">
        <v>521</v>
      </c>
      <c r="AP157">
        <v>5</v>
      </c>
    </row>
    <row r="158" spans="1:42" x14ac:dyDescent="0.2">
      <c r="A158" t="s">
        <v>313</v>
      </c>
      <c r="B158">
        <v>10113</v>
      </c>
      <c r="C158">
        <v>1</v>
      </c>
      <c r="D158">
        <v>1</v>
      </c>
      <c r="E158">
        <v>1</v>
      </c>
      <c r="F158">
        <v>3</v>
      </c>
      <c r="G158">
        <v>3</v>
      </c>
      <c r="H158">
        <v>3</v>
      </c>
      <c r="I158">
        <v>0</v>
      </c>
      <c r="J158" s="2">
        <v>93206</v>
      </c>
      <c r="K158">
        <v>0</v>
      </c>
      <c r="L158">
        <v>28</v>
      </c>
      <c r="M158" t="s">
        <v>184</v>
      </c>
      <c r="N158" t="s">
        <v>44</v>
      </c>
      <c r="O158">
        <v>2169</v>
      </c>
      <c r="P158" s="1">
        <v>36273</v>
      </c>
      <c r="Q158" t="s">
        <v>45</v>
      </c>
      <c r="R158" t="s">
        <v>58</v>
      </c>
      <c r="S158" t="s">
        <v>47</v>
      </c>
      <c r="T158" t="s">
        <v>48</v>
      </c>
      <c r="U158" t="s">
        <v>49</v>
      </c>
      <c r="V158" s="1">
        <v>44875</v>
      </c>
      <c r="W158" s="1" t="s">
        <v>492</v>
      </c>
      <c r="X158" t="s">
        <v>50</v>
      </c>
      <c r="Y158" t="s">
        <v>51</v>
      </c>
      <c r="Z158" t="s">
        <v>61</v>
      </c>
      <c r="AA158" t="s">
        <v>93</v>
      </c>
      <c r="AB158">
        <v>7</v>
      </c>
      <c r="AC158" t="s">
        <v>86</v>
      </c>
      <c r="AD158" t="s">
        <v>64</v>
      </c>
      <c r="AE158">
        <v>4.46</v>
      </c>
      <c r="AF158">
        <v>5</v>
      </c>
      <c r="AG158">
        <v>6</v>
      </c>
      <c r="AH158" s="1">
        <v>46029</v>
      </c>
      <c r="AI158">
        <v>0</v>
      </c>
      <c r="AJ158">
        <v>7</v>
      </c>
      <c r="AK158">
        <v>1</v>
      </c>
      <c r="AL158">
        <v>27.4</v>
      </c>
      <c r="AM158" t="s">
        <v>500</v>
      </c>
      <c r="AN158">
        <v>3.8</v>
      </c>
      <c r="AO158" t="s">
        <v>508</v>
      </c>
      <c r="AP158">
        <v>4</v>
      </c>
    </row>
    <row r="159" spans="1:42" x14ac:dyDescent="0.2">
      <c r="A159" t="s">
        <v>314</v>
      </c>
      <c r="B159">
        <v>10092</v>
      </c>
      <c r="C159">
        <v>1</v>
      </c>
      <c r="D159">
        <v>1</v>
      </c>
      <c r="E159">
        <v>1</v>
      </c>
      <c r="F159">
        <v>4</v>
      </c>
      <c r="G159">
        <v>5</v>
      </c>
      <c r="H159">
        <v>3</v>
      </c>
      <c r="I159">
        <v>0</v>
      </c>
      <c r="J159" s="2">
        <v>82758</v>
      </c>
      <c r="K159">
        <v>1</v>
      </c>
      <c r="L159">
        <v>18</v>
      </c>
      <c r="M159" t="s">
        <v>135</v>
      </c>
      <c r="N159" t="s">
        <v>44</v>
      </c>
      <c r="O159">
        <v>1890</v>
      </c>
      <c r="P159" s="1">
        <v>31229</v>
      </c>
      <c r="Q159" t="s">
        <v>45</v>
      </c>
      <c r="R159" t="s">
        <v>58</v>
      </c>
      <c r="S159" t="s">
        <v>47</v>
      </c>
      <c r="T159" t="s">
        <v>48</v>
      </c>
      <c r="U159" t="s">
        <v>49</v>
      </c>
      <c r="V159" s="1">
        <v>43475</v>
      </c>
      <c r="W159" s="1">
        <v>45272</v>
      </c>
      <c r="X159" t="s">
        <v>109</v>
      </c>
      <c r="Y159" t="s">
        <v>110</v>
      </c>
      <c r="Z159" t="s">
        <v>52</v>
      </c>
      <c r="AA159" t="s">
        <v>137</v>
      </c>
      <c r="AB159">
        <v>2</v>
      </c>
      <c r="AC159" t="s">
        <v>86</v>
      </c>
      <c r="AD159" t="s">
        <v>64</v>
      </c>
      <c r="AE159">
        <v>4.78</v>
      </c>
      <c r="AF159">
        <v>4</v>
      </c>
      <c r="AG159">
        <v>0</v>
      </c>
      <c r="AH159" s="1">
        <v>44607</v>
      </c>
      <c r="AI159">
        <v>0</v>
      </c>
      <c r="AJ159">
        <v>9</v>
      </c>
      <c r="AK159">
        <v>0</v>
      </c>
      <c r="AL159">
        <v>41.1</v>
      </c>
      <c r="AM159" t="s">
        <v>501</v>
      </c>
      <c r="AN159">
        <v>7.7</v>
      </c>
      <c r="AO159" t="s">
        <v>521</v>
      </c>
      <c r="AP159">
        <v>5</v>
      </c>
    </row>
    <row r="160" spans="1:42" x14ac:dyDescent="0.2">
      <c r="A160" t="s">
        <v>315</v>
      </c>
      <c r="B160">
        <v>10106</v>
      </c>
      <c r="C160">
        <v>0</v>
      </c>
      <c r="D160">
        <v>2</v>
      </c>
      <c r="E160">
        <v>0</v>
      </c>
      <c r="F160">
        <v>5</v>
      </c>
      <c r="G160">
        <v>5</v>
      </c>
      <c r="H160">
        <v>3</v>
      </c>
      <c r="I160">
        <v>0</v>
      </c>
      <c r="J160" s="2">
        <v>66074</v>
      </c>
      <c r="K160">
        <v>1</v>
      </c>
      <c r="L160">
        <v>20</v>
      </c>
      <c r="M160" t="s">
        <v>66</v>
      </c>
      <c r="N160" t="s">
        <v>44</v>
      </c>
      <c r="O160">
        <v>2090</v>
      </c>
      <c r="P160" s="1">
        <v>33810</v>
      </c>
      <c r="Q160" t="s">
        <v>67</v>
      </c>
      <c r="R160" t="s">
        <v>73</v>
      </c>
      <c r="S160" t="s">
        <v>47</v>
      </c>
      <c r="T160" t="s">
        <v>48</v>
      </c>
      <c r="U160" t="s">
        <v>118</v>
      </c>
      <c r="V160" s="1">
        <v>44203</v>
      </c>
      <c r="W160" s="1">
        <v>44651</v>
      </c>
      <c r="X160" t="s">
        <v>96</v>
      </c>
      <c r="Y160" t="s">
        <v>60</v>
      </c>
      <c r="Z160" t="s">
        <v>52</v>
      </c>
      <c r="AA160" t="s">
        <v>97</v>
      </c>
      <c r="AB160">
        <v>14</v>
      </c>
      <c r="AC160" t="s">
        <v>63</v>
      </c>
      <c r="AD160" t="s">
        <v>64</v>
      </c>
      <c r="AE160">
        <v>4.5199999999999996</v>
      </c>
      <c r="AF160">
        <v>3</v>
      </c>
      <c r="AG160">
        <v>0</v>
      </c>
      <c r="AH160" s="1">
        <v>44247</v>
      </c>
      <c r="AI160">
        <v>0</v>
      </c>
      <c r="AJ160">
        <v>20</v>
      </c>
      <c r="AK160">
        <v>0</v>
      </c>
      <c r="AL160">
        <v>34.1</v>
      </c>
      <c r="AM160" t="s">
        <v>500</v>
      </c>
      <c r="AN160">
        <v>5.7</v>
      </c>
      <c r="AO160" t="s">
        <v>521</v>
      </c>
      <c r="AP160">
        <v>5</v>
      </c>
    </row>
    <row r="161" spans="1:42" x14ac:dyDescent="0.2">
      <c r="A161" t="s">
        <v>316</v>
      </c>
      <c r="B161">
        <v>10052</v>
      </c>
      <c r="C161">
        <v>1</v>
      </c>
      <c r="D161">
        <v>1</v>
      </c>
      <c r="E161">
        <v>1</v>
      </c>
      <c r="F161">
        <v>1</v>
      </c>
      <c r="G161">
        <v>5</v>
      </c>
      <c r="H161">
        <v>3</v>
      </c>
      <c r="I161">
        <v>0</v>
      </c>
      <c r="J161" s="2">
        <v>46120</v>
      </c>
      <c r="K161">
        <v>0</v>
      </c>
      <c r="L161">
        <v>19</v>
      </c>
      <c r="M161" t="s">
        <v>43</v>
      </c>
      <c r="N161" t="s">
        <v>44</v>
      </c>
      <c r="O161">
        <v>2048</v>
      </c>
      <c r="P161" s="1">
        <v>36503</v>
      </c>
      <c r="Q161" t="s">
        <v>45</v>
      </c>
      <c r="R161" t="s">
        <v>58</v>
      </c>
      <c r="S161" t="s">
        <v>47</v>
      </c>
      <c r="T161" t="s">
        <v>48</v>
      </c>
      <c r="U161" t="s">
        <v>49</v>
      </c>
      <c r="V161" s="1">
        <v>44021</v>
      </c>
      <c r="W161" s="1" t="s">
        <v>492</v>
      </c>
      <c r="X161" t="s">
        <v>50</v>
      </c>
      <c r="Y161" t="s">
        <v>51</v>
      </c>
      <c r="Z161" t="s">
        <v>52</v>
      </c>
      <c r="AA161" t="s">
        <v>97</v>
      </c>
      <c r="AB161">
        <v>14</v>
      </c>
      <c r="AC161" t="s">
        <v>54</v>
      </c>
      <c r="AD161" t="s">
        <v>64</v>
      </c>
      <c r="AE161">
        <v>5</v>
      </c>
      <c r="AF161">
        <v>5</v>
      </c>
      <c r="AG161">
        <v>0</v>
      </c>
      <c r="AH161" s="1">
        <v>46057</v>
      </c>
      <c r="AI161">
        <v>0</v>
      </c>
      <c r="AJ161">
        <v>13</v>
      </c>
      <c r="AK161">
        <v>1</v>
      </c>
      <c r="AL161">
        <v>26.8</v>
      </c>
      <c r="AM161" t="s">
        <v>500</v>
      </c>
      <c r="AN161">
        <v>6.1</v>
      </c>
      <c r="AO161" t="s">
        <v>521</v>
      </c>
      <c r="AP161">
        <v>5</v>
      </c>
    </row>
    <row r="162" spans="1:42" x14ac:dyDescent="0.2">
      <c r="A162" t="s">
        <v>317</v>
      </c>
      <c r="B162">
        <v>10038</v>
      </c>
      <c r="C162">
        <v>0</v>
      </c>
      <c r="D162">
        <v>2</v>
      </c>
      <c r="E162">
        <v>1</v>
      </c>
      <c r="F162">
        <v>1</v>
      </c>
      <c r="G162">
        <v>1</v>
      </c>
      <c r="H162">
        <v>3</v>
      </c>
      <c r="I162">
        <v>0</v>
      </c>
      <c r="J162" s="2">
        <v>64520</v>
      </c>
      <c r="K162">
        <v>0</v>
      </c>
      <c r="L162">
        <v>1</v>
      </c>
      <c r="M162" t="s">
        <v>140</v>
      </c>
      <c r="N162" t="s">
        <v>44</v>
      </c>
      <c r="O162">
        <v>1460</v>
      </c>
      <c r="P162" s="1">
        <v>35546</v>
      </c>
      <c r="Q162" t="s">
        <v>45</v>
      </c>
      <c r="R162" t="s">
        <v>73</v>
      </c>
      <c r="S162" t="s">
        <v>47</v>
      </c>
      <c r="T162" t="s">
        <v>48</v>
      </c>
      <c r="U162" t="s">
        <v>88</v>
      </c>
      <c r="V162" s="1">
        <v>44567</v>
      </c>
      <c r="W162" s="1" t="s">
        <v>492</v>
      </c>
      <c r="X162" t="s">
        <v>50</v>
      </c>
      <c r="Y162" t="s">
        <v>51</v>
      </c>
      <c r="Z162" t="s">
        <v>132</v>
      </c>
      <c r="AA162" t="s">
        <v>133</v>
      </c>
      <c r="AB162">
        <v>1</v>
      </c>
      <c r="AC162" t="s">
        <v>206</v>
      </c>
      <c r="AD162" t="s">
        <v>64</v>
      </c>
      <c r="AE162">
        <v>5</v>
      </c>
      <c r="AF162">
        <v>4</v>
      </c>
      <c r="AG162">
        <v>4</v>
      </c>
      <c r="AH162" s="1">
        <v>46039</v>
      </c>
      <c r="AI162">
        <v>0</v>
      </c>
      <c r="AJ162">
        <v>3</v>
      </c>
      <c r="AK162">
        <v>1</v>
      </c>
      <c r="AL162">
        <v>29.4</v>
      </c>
      <c r="AM162" t="s">
        <v>500</v>
      </c>
      <c r="AN162">
        <v>4.7</v>
      </c>
      <c r="AO162" t="s">
        <v>508</v>
      </c>
      <c r="AP162">
        <v>4</v>
      </c>
    </row>
    <row r="163" spans="1:42" x14ac:dyDescent="0.2">
      <c r="A163" t="s">
        <v>318</v>
      </c>
      <c r="B163">
        <v>10249</v>
      </c>
      <c r="C163">
        <v>1</v>
      </c>
      <c r="D163">
        <v>1</v>
      </c>
      <c r="E163">
        <v>1</v>
      </c>
      <c r="F163">
        <v>5</v>
      </c>
      <c r="G163">
        <v>5</v>
      </c>
      <c r="H163">
        <v>3</v>
      </c>
      <c r="I163">
        <v>0</v>
      </c>
      <c r="J163" s="2">
        <v>61962</v>
      </c>
      <c r="K163">
        <v>1</v>
      </c>
      <c r="L163">
        <v>20</v>
      </c>
      <c r="M163" t="s">
        <v>66</v>
      </c>
      <c r="N163" t="s">
        <v>44</v>
      </c>
      <c r="O163">
        <v>2126</v>
      </c>
      <c r="P163" s="1">
        <v>35559</v>
      </c>
      <c r="Q163" t="s">
        <v>45</v>
      </c>
      <c r="R163" t="s">
        <v>58</v>
      </c>
      <c r="S163" t="s">
        <v>47</v>
      </c>
      <c r="T163" t="s">
        <v>48</v>
      </c>
      <c r="U163" t="s">
        <v>49</v>
      </c>
      <c r="V163" s="1">
        <v>43923</v>
      </c>
      <c r="W163" s="1">
        <v>44301</v>
      </c>
      <c r="X163" t="s">
        <v>198</v>
      </c>
      <c r="Y163" t="s">
        <v>60</v>
      </c>
      <c r="Z163" t="s">
        <v>52</v>
      </c>
      <c r="AA163" t="s">
        <v>69</v>
      </c>
      <c r="AB163">
        <v>20</v>
      </c>
      <c r="AC163" t="s">
        <v>76</v>
      </c>
      <c r="AD163" t="s">
        <v>64</v>
      </c>
      <c r="AE163">
        <v>4.9000000000000004</v>
      </c>
      <c r="AF163">
        <v>3</v>
      </c>
      <c r="AG163">
        <v>0</v>
      </c>
      <c r="AH163" s="1">
        <v>43881</v>
      </c>
      <c r="AI163">
        <v>0</v>
      </c>
      <c r="AJ163">
        <v>20</v>
      </c>
      <c r="AK163">
        <v>0</v>
      </c>
      <c r="AL163">
        <v>29.3</v>
      </c>
      <c r="AM163" t="s">
        <v>500</v>
      </c>
      <c r="AN163">
        <v>6.4</v>
      </c>
      <c r="AO163" t="s">
        <v>521</v>
      </c>
      <c r="AP163">
        <v>5</v>
      </c>
    </row>
    <row r="164" spans="1:42" x14ac:dyDescent="0.2">
      <c r="A164" t="s">
        <v>319</v>
      </c>
      <c r="B164">
        <v>10232</v>
      </c>
      <c r="C164">
        <v>0</v>
      </c>
      <c r="D164">
        <v>0</v>
      </c>
      <c r="E164">
        <v>0</v>
      </c>
      <c r="F164">
        <v>1</v>
      </c>
      <c r="G164">
        <v>3</v>
      </c>
      <c r="H164">
        <v>3</v>
      </c>
      <c r="I164">
        <v>0</v>
      </c>
      <c r="J164" s="2">
        <v>81584</v>
      </c>
      <c r="K164">
        <v>0</v>
      </c>
      <c r="L164">
        <v>22</v>
      </c>
      <c r="M164" t="s">
        <v>320</v>
      </c>
      <c r="N164" t="s">
        <v>44</v>
      </c>
      <c r="O164">
        <v>1886</v>
      </c>
      <c r="P164" s="1">
        <v>36691</v>
      </c>
      <c r="Q164" t="s">
        <v>67</v>
      </c>
      <c r="R164" t="s">
        <v>46</v>
      </c>
      <c r="S164" t="s">
        <v>47</v>
      </c>
      <c r="T164" t="s">
        <v>48</v>
      </c>
      <c r="U164" t="s">
        <v>118</v>
      </c>
      <c r="V164" s="1">
        <v>45567</v>
      </c>
      <c r="W164" s="1" t="s">
        <v>492</v>
      </c>
      <c r="X164" t="s">
        <v>50</v>
      </c>
      <c r="Y164" t="s">
        <v>51</v>
      </c>
      <c r="Z164" t="s">
        <v>61</v>
      </c>
      <c r="AA164" t="s">
        <v>202</v>
      </c>
      <c r="AB164">
        <v>13</v>
      </c>
      <c r="AC164" t="s">
        <v>63</v>
      </c>
      <c r="AD164" t="s">
        <v>64</v>
      </c>
      <c r="AE164">
        <v>4.0999999999999996</v>
      </c>
      <c r="AF164">
        <v>5</v>
      </c>
      <c r="AG164">
        <v>7</v>
      </c>
      <c r="AH164" s="1">
        <v>46030</v>
      </c>
      <c r="AI164">
        <v>0</v>
      </c>
      <c r="AJ164">
        <v>2</v>
      </c>
      <c r="AK164">
        <v>1</v>
      </c>
      <c r="AL164">
        <v>26.2</v>
      </c>
      <c r="AM164" t="s">
        <v>500</v>
      </c>
      <c r="AN164">
        <v>1.8</v>
      </c>
      <c r="AO164" t="s">
        <v>506</v>
      </c>
      <c r="AP164">
        <v>2</v>
      </c>
    </row>
    <row r="165" spans="1:42" x14ac:dyDescent="0.2">
      <c r="A165" t="s">
        <v>321</v>
      </c>
      <c r="B165">
        <v>10087</v>
      </c>
      <c r="C165">
        <v>0</v>
      </c>
      <c r="D165">
        <v>0</v>
      </c>
      <c r="E165">
        <v>0</v>
      </c>
      <c r="F165">
        <v>5</v>
      </c>
      <c r="G165">
        <v>5</v>
      </c>
      <c r="H165">
        <v>3</v>
      </c>
      <c r="I165">
        <v>0</v>
      </c>
      <c r="J165" s="2">
        <v>63676</v>
      </c>
      <c r="K165">
        <v>1</v>
      </c>
      <c r="L165">
        <v>19</v>
      </c>
      <c r="M165" t="s">
        <v>43</v>
      </c>
      <c r="N165" t="s">
        <v>44</v>
      </c>
      <c r="O165">
        <v>1810</v>
      </c>
      <c r="P165" s="1">
        <v>33620</v>
      </c>
      <c r="Q165" t="s">
        <v>67</v>
      </c>
      <c r="R165" t="s">
        <v>46</v>
      </c>
      <c r="S165" t="s">
        <v>47</v>
      </c>
      <c r="T165" t="s">
        <v>48</v>
      </c>
      <c r="U165" t="s">
        <v>118</v>
      </c>
      <c r="V165" s="1">
        <v>43734</v>
      </c>
      <c r="W165" s="1">
        <v>46253</v>
      </c>
      <c r="X165" t="s">
        <v>74</v>
      </c>
      <c r="Y165" t="s">
        <v>60</v>
      </c>
      <c r="Z165" t="s">
        <v>52</v>
      </c>
      <c r="AA165" t="s">
        <v>69</v>
      </c>
      <c r="AB165">
        <v>20</v>
      </c>
      <c r="AC165" t="s">
        <v>123</v>
      </c>
      <c r="AD165" t="s">
        <v>64</v>
      </c>
      <c r="AE165">
        <v>4.88</v>
      </c>
      <c r="AF165">
        <v>3</v>
      </c>
      <c r="AG165">
        <v>0</v>
      </c>
      <c r="AH165" s="1">
        <v>45475</v>
      </c>
      <c r="AI165">
        <v>0</v>
      </c>
      <c r="AJ165">
        <v>17</v>
      </c>
      <c r="AK165">
        <v>1</v>
      </c>
      <c r="AL165">
        <v>34.700000000000003</v>
      </c>
      <c r="AM165" t="s">
        <v>500</v>
      </c>
      <c r="AN165">
        <v>6.8</v>
      </c>
      <c r="AO165" t="s">
        <v>521</v>
      </c>
      <c r="AP165">
        <v>5</v>
      </c>
    </row>
    <row r="166" spans="1:42" x14ac:dyDescent="0.2">
      <c r="A166" t="s">
        <v>322</v>
      </c>
      <c r="B166">
        <v>10134</v>
      </c>
      <c r="C166">
        <v>1</v>
      </c>
      <c r="D166">
        <v>1</v>
      </c>
      <c r="E166">
        <v>1</v>
      </c>
      <c r="F166">
        <v>1</v>
      </c>
      <c r="G166">
        <v>1</v>
      </c>
      <c r="H166">
        <v>3</v>
      </c>
      <c r="I166">
        <v>0</v>
      </c>
      <c r="J166" s="2">
        <v>93046</v>
      </c>
      <c r="K166">
        <v>0</v>
      </c>
      <c r="L166">
        <v>23</v>
      </c>
      <c r="M166" t="s">
        <v>323</v>
      </c>
      <c r="N166" t="s">
        <v>44</v>
      </c>
      <c r="O166">
        <v>1460</v>
      </c>
      <c r="P166" s="1">
        <v>35591</v>
      </c>
      <c r="Q166" t="s">
        <v>45</v>
      </c>
      <c r="R166" t="s">
        <v>58</v>
      </c>
      <c r="S166" t="s">
        <v>47</v>
      </c>
      <c r="T166" t="s">
        <v>48</v>
      </c>
      <c r="U166" t="s">
        <v>49</v>
      </c>
      <c r="V166" s="1">
        <v>45296</v>
      </c>
      <c r="W166" s="1" t="s">
        <v>492</v>
      </c>
      <c r="X166" t="s">
        <v>50</v>
      </c>
      <c r="Y166" t="s">
        <v>51</v>
      </c>
      <c r="Z166" t="s">
        <v>132</v>
      </c>
      <c r="AA166" t="s">
        <v>137</v>
      </c>
      <c r="AB166">
        <v>2</v>
      </c>
      <c r="AC166" t="s">
        <v>123</v>
      </c>
      <c r="AD166" t="s">
        <v>64</v>
      </c>
      <c r="AE166">
        <v>4.0999999999999996</v>
      </c>
      <c r="AF166">
        <v>4</v>
      </c>
      <c r="AG166">
        <v>0</v>
      </c>
      <c r="AH166" s="1">
        <v>46050</v>
      </c>
      <c r="AI166">
        <v>0</v>
      </c>
      <c r="AJ166">
        <v>20</v>
      </c>
      <c r="AK166">
        <v>1</v>
      </c>
      <c r="AL166">
        <v>29.2</v>
      </c>
      <c r="AM166" t="s">
        <v>500</v>
      </c>
      <c r="AN166">
        <v>2.7</v>
      </c>
      <c r="AO166" t="s">
        <v>507</v>
      </c>
      <c r="AP166">
        <v>3</v>
      </c>
    </row>
    <row r="167" spans="1:42" x14ac:dyDescent="0.2">
      <c r="A167" t="s">
        <v>324</v>
      </c>
      <c r="B167">
        <v>10251</v>
      </c>
      <c r="C167">
        <v>1</v>
      </c>
      <c r="D167">
        <v>1</v>
      </c>
      <c r="E167">
        <v>1</v>
      </c>
      <c r="F167">
        <v>1</v>
      </c>
      <c r="G167">
        <v>5</v>
      </c>
      <c r="H167">
        <v>3</v>
      </c>
      <c r="I167">
        <v>0</v>
      </c>
      <c r="J167" s="2">
        <v>64738</v>
      </c>
      <c r="K167">
        <v>0</v>
      </c>
      <c r="L167">
        <v>19</v>
      </c>
      <c r="M167" t="s">
        <v>43</v>
      </c>
      <c r="N167" t="s">
        <v>44</v>
      </c>
      <c r="O167">
        <v>1776</v>
      </c>
      <c r="P167" s="1">
        <v>34944</v>
      </c>
      <c r="Q167" t="s">
        <v>45</v>
      </c>
      <c r="R167" t="s">
        <v>58</v>
      </c>
      <c r="S167" t="s">
        <v>47</v>
      </c>
      <c r="T167" t="s">
        <v>48</v>
      </c>
      <c r="U167" t="s">
        <v>118</v>
      </c>
      <c r="V167" s="1">
        <v>43965</v>
      </c>
      <c r="W167" s="1" t="s">
        <v>492</v>
      </c>
      <c r="X167" t="s">
        <v>50</v>
      </c>
      <c r="Y167" t="s">
        <v>51</v>
      </c>
      <c r="Z167" t="s">
        <v>52</v>
      </c>
      <c r="AA167" t="s">
        <v>71</v>
      </c>
      <c r="AB167">
        <v>16</v>
      </c>
      <c r="AC167" t="s">
        <v>76</v>
      </c>
      <c r="AD167" t="s">
        <v>64</v>
      </c>
      <c r="AE167">
        <v>4.0999999999999996</v>
      </c>
      <c r="AF167">
        <v>3</v>
      </c>
      <c r="AG167">
        <v>0</v>
      </c>
      <c r="AH167" s="1">
        <v>46075</v>
      </c>
      <c r="AI167">
        <v>0</v>
      </c>
      <c r="AJ167">
        <v>10</v>
      </c>
      <c r="AK167">
        <v>1</v>
      </c>
      <c r="AL167">
        <v>30.8</v>
      </c>
      <c r="AM167" t="s">
        <v>500</v>
      </c>
      <c r="AN167">
        <v>6.3</v>
      </c>
      <c r="AO167" t="s">
        <v>521</v>
      </c>
      <c r="AP167">
        <v>5</v>
      </c>
    </row>
    <row r="168" spans="1:42" x14ac:dyDescent="0.2">
      <c r="A168" t="s">
        <v>325</v>
      </c>
      <c r="B168">
        <v>10103</v>
      </c>
      <c r="C168">
        <v>0</v>
      </c>
      <c r="D168">
        <v>3</v>
      </c>
      <c r="E168">
        <v>1</v>
      </c>
      <c r="F168">
        <v>1</v>
      </c>
      <c r="G168">
        <v>6</v>
      </c>
      <c r="H168">
        <v>3</v>
      </c>
      <c r="I168">
        <v>0</v>
      </c>
      <c r="J168" s="2">
        <v>70468</v>
      </c>
      <c r="K168">
        <v>0</v>
      </c>
      <c r="L168">
        <v>3</v>
      </c>
      <c r="M168" t="s">
        <v>145</v>
      </c>
      <c r="N168" t="s">
        <v>326</v>
      </c>
      <c r="O168">
        <v>84111</v>
      </c>
      <c r="P168" s="1">
        <v>37252</v>
      </c>
      <c r="Q168" t="s">
        <v>45</v>
      </c>
      <c r="R168" t="s">
        <v>143</v>
      </c>
      <c r="S168" t="s">
        <v>47</v>
      </c>
      <c r="T168" t="s">
        <v>48</v>
      </c>
      <c r="U168" t="s">
        <v>88</v>
      </c>
      <c r="V168" s="1">
        <v>43951</v>
      </c>
      <c r="W168" s="1" t="s">
        <v>492</v>
      </c>
      <c r="X168" t="s">
        <v>50</v>
      </c>
      <c r="Y168" t="s">
        <v>51</v>
      </c>
      <c r="Z168" t="s">
        <v>5</v>
      </c>
      <c r="AA168" t="s">
        <v>147</v>
      </c>
      <c r="AB168">
        <v>17</v>
      </c>
      <c r="AC168" t="s">
        <v>206</v>
      </c>
      <c r="AD168" t="s">
        <v>64</v>
      </c>
      <c r="AE168">
        <v>4.53</v>
      </c>
      <c r="AF168">
        <v>3</v>
      </c>
      <c r="AG168">
        <v>0</v>
      </c>
      <c r="AH168" s="1">
        <v>46051</v>
      </c>
      <c r="AI168">
        <v>0</v>
      </c>
      <c r="AJ168">
        <v>16</v>
      </c>
      <c r="AK168">
        <v>1</v>
      </c>
      <c r="AL168">
        <v>24.8</v>
      </c>
      <c r="AM168" t="s">
        <v>499</v>
      </c>
      <c r="AN168">
        <v>6.4</v>
      </c>
      <c r="AO168" t="s">
        <v>521</v>
      </c>
      <c r="AP168">
        <v>5</v>
      </c>
    </row>
    <row r="169" spans="1:42" x14ac:dyDescent="0.2">
      <c r="A169" t="s">
        <v>327</v>
      </c>
      <c r="B169">
        <v>10017</v>
      </c>
      <c r="C169">
        <v>1</v>
      </c>
      <c r="D169">
        <v>1</v>
      </c>
      <c r="E169">
        <v>0</v>
      </c>
      <c r="F169">
        <v>1</v>
      </c>
      <c r="G169">
        <v>5</v>
      </c>
      <c r="H169">
        <v>4</v>
      </c>
      <c r="I169">
        <v>0</v>
      </c>
      <c r="J169" s="2">
        <v>77915</v>
      </c>
      <c r="K169">
        <v>0</v>
      </c>
      <c r="L169">
        <v>18</v>
      </c>
      <c r="M169" t="s">
        <v>135</v>
      </c>
      <c r="N169" t="s">
        <v>44</v>
      </c>
      <c r="O169">
        <v>2110</v>
      </c>
      <c r="P169" s="1">
        <v>34633</v>
      </c>
      <c r="Q169" t="s">
        <v>67</v>
      </c>
      <c r="R169" t="s">
        <v>58</v>
      </c>
      <c r="S169" t="s">
        <v>47</v>
      </c>
      <c r="T169" t="s">
        <v>48</v>
      </c>
      <c r="U169" t="s">
        <v>49</v>
      </c>
      <c r="V169" s="1">
        <v>44469</v>
      </c>
      <c r="W169" s="1" t="s">
        <v>492</v>
      </c>
      <c r="X169" t="s">
        <v>50</v>
      </c>
      <c r="Y169" t="s">
        <v>51</v>
      </c>
      <c r="Z169" t="s">
        <v>52</v>
      </c>
      <c r="AA169" t="s">
        <v>137</v>
      </c>
      <c r="AB169">
        <v>2</v>
      </c>
      <c r="AC169" t="s">
        <v>206</v>
      </c>
      <c r="AD169" t="s">
        <v>55</v>
      </c>
      <c r="AE169">
        <v>4.0999999999999996</v>
      </c>
      <c r="AF169">
        <v>3</v>
      </c>
      <c r="AG169">
        <v>0</v>
      </c>
      <c r="AH169" s="1">
        <v>46043</v>
      </c>
      <c r="AI169">
        <v>0</v>
      </c>
      <c r="AJ169">
        <v>11</v>
      </c>
      <c r="AK169">
        <v>1</v>
      </c>
      <c r="AL169">
        <v>31.8</v>
      </c>
      <c r="AM169" t="s">
        <v>500</v>
      </c>
      <c r="AN169">
        <v>4.8</v>
      </c>
      <c r="AO169" t="s">
        <v>508</v>
      </c>
      <c r="AP169">
        <v>4</v>
      </c>
    </row>
    <row r="170" spans="1:42" x14ac:dyDescent="0.2">
      <c r="A170" t="s">
        <v>328</v>
      </c>
      <c r="B170">
        <v>10186</v>
      </c>
      <c r="C170">
        <v>1</v>
      </c>
      <c r="D170">
        <v>1</v>
      </c>
      <c r="E170">
        <v>0</v>
      </c>
      <c r="F170">
        <v>5</v>
      </c>
      <c r="G170">
        <v>5</v>
      </c>
      <c r="H170">
        <v>3</v>
      </c>
      <c r="I170">
        <v>0</v>
      </c>
      <c r="J170" s="2">
        <v>52624</v>
      </c>
      <c r="K170">
        <v>1</v>
      </c>
      <c r="L170">
        <v>19</v>
      </c>
      <c r="M170" t="s">
        <v>43</v>
      </c>
      <c r="N170" t="s">
        <v>44</v>
      </c>
      <c r="O170">
        <v>1886</v>
      </c>
      <c r="P170" s="1">
        <v>34419</v>
      </c>
      <c r="Q170" t="s">
        <v>67</v>
      </c>
      <c r="R170" t="s">
        <v>58</v>
      </c>
      <c r="S170" t="s">
        <v>47</v>
      </c>
      <c r="T170" t="s">
        <v>48</v>
      </c>
      <c r="U170" t="s">
        <v>49</v>
      </c>
      <c r="V170" s="1">
        <v>43651</v>
      </c>
      <c r="W170" s="1">
        <v>43369</v>
      </c>
      <c r="X170" t="s">
        <v>99</v>
      </c>
      <c r="Y170" t="s">
        <v>60</v>
      </c>
      <c r="Z170" t="s">
        <v>52</v>
      </c>
      <c r="AA170" t="s">
        <v>53</v>
      </c>
      <c r="AB170">
        <v>22</v>
      </c>
      <c r="AC170" t="s">
        <v>63</v>
      </c>
      <c r="AD170" t="s">
        <v>64</v>
      </c>
      <c r="AE170">
        <v>3.18</v>
      </c>
      <c r="AF170">
        <v>4</v>
      </c>
      <c r="AG170">
        <v>0</v>
      </c>
      <c r="AH170" s="1">
        <v>45718</v>
      </c>
      <c r="AI170">
        <v>0</v>
      </c>
      <c r="AJ170">
        <v>16</v>
      </c>
      <c r="AK170">
        <v>0</v>
      </c>
      <c r="AL170">
        <v>32.5</v>
      </c>
      <c r="AM170" t="s">
        <v>500</v>
      </c>
      <c r="AN170">
        <v>7.1</v>
      </c>
      <c r="AO170" t="s">
        <v>521</v>
      </c>
      <c r="AP170">
        <v>5</v>
      </c>
    </row>
    <row r="171" spans="1:42" x14ac:dyDescent="0.2">
      <c r="A171" t="s">
        <v>329</v>
      </c>
      <c r="B171">
        <v>10137</v>
      </c>
      <c r="C171">
        <v>1</v>
      </c>
      <c r="D171">
        <v>1</v>
      </c>
      <c r="E171">
        <v>1</v>
      </c>
      <c r="F171">
        <v>3</v>
      </c>
      <c r="G171">
        <v>5</v>
      </c>
      <c r="H171">
        <v>3</v>
      </c>
      <c r="I171">
        <v>0</v>
      </c>
      <c r="J171" s="2">
        <v>63450</v>
      </c>
      <c r="K171">
        <v>0</v>
      </c>
      <c r="L171">
        <v>20</v>
      </c>
      <c r="M171" t="s">
        <v>66</v>
      </c>
      <c r="N171" t="s">
        <v>44</v>
      </c>
      <c r="O171">
        <v>1770</v>
      </c>
      <c r="P171" s="1">
        <v>33682</v>
      </c>
      <c r="Q171" t="s">
        <v>45</v>
      </c>
      <c r="R171" t="s">
        <v>58</v>
      </c>
      <c r="S171" t="s">
        <v>47</v>
      </c>
      <c r="T171" t="s">
        <v>48</v>
      </c>
      <c r="U171" t="s">
        <v>49</v>
      </c>
      <c r="V171" s="1">
        <v>44385</v>
      </c>
      <c r="W171" s="1" t="s">
        <v>492</v>
      </c>
      <c r="X171" t="s">
        <v>50</v>
      </c>
      <c r="Y171" t="s">
        <v>51</v>
      </c>
      <c r="Z171" t="s">
        <v>52</v>
      </c>
      <c r="AA171" t="s">
        <v>105</v>
      </c>
      <c r="AB171">
        <v>18</v>
      </c>
      <c r="AC171" t="s">
        <v>54</v>
      </c>
      <c r="AD171" t="s">
        <v>64</v>
      </c>
      <c r="AE171">
        <v>4</v>
      </c>
      <c r="AF171">
        <v>3</v>
      </c>
      <c r="AG171">
        <v>0</v>
      </c>
      <c r="AH171" s="1">
        <v>46071</v>
      </c>
      <c r="AI171">
        <v>0</v>
      </c>
      <c r="AJ171">
        <v>7</v>
      </c>
      <c r="AK171">
        <v>1</v>
      </c>
      <c r="AL171">
        <v>34.5</v>
      </c>
      <c r="AM171" t="s">
        <v>500</v>
      </c>
      <c r="AN171">
        <v>5.0999999999999996</v>
      </c>
      <c r="AO171" t="s">
        <v>521</v>
      </c>
      <c r="AP171">
        <v>5</v>
      </c>
    </row>
    <row r="172" spans="1:42" x14ac:dyDescent="0.2">
      <c r="A172" t="s">
        <v>330</v>
      </c>
      <c r="B172">
        <v>10008</v>
      </c>
      <c r="C172">
        <v>0</v>
      </c>
      <c r="D172">
        <v>0</v>
      </c>
      <c r="E172">
        <v>0</v>
      </c>
      <c r="F172">
        <v>1</v>
      </c>
      <c r="G172">
        <v>3</v>
      </c>
      <c r="H172">
        <v>4</v>
      </c>
      <c r="I172">
        <v>1</v>
      </c>
      <c r="J172" s="2">
        <v>51777</v>
      </c>
      <c r="K172">
        <v>0</v>
      </c>
      <c r="L172">
        <v>14</v>
      </c>
      <c r="M172" t="s">
        <v>92</v>
      </c>
      <c r="N172" t="s">
        <v>128</v>
      </c>
      <c r="O172">
        <v>6070</v>
      </c>
      <c r="P172" s="1">
        <v>37169</v>
      </c>
      <c r="Q172" t="s">
        <v>67</v>
      </c>
      <c r="R172" t="s">
        <v>46</v>
      </c>
      <c r="S172" t="s">
        <v>47</v>
      </c>
      <c r="T172" t="s">
        <v>95</v>
      </c>
      <c r="U172" t="s">
        <v>88</v>
      </c>
      <c r="V172" s="1">
        <v>43486</v>
      </c>
      <c r="W172" s="1" t="s">
        <v>492</v>
      </c>
      <c r="X172" t="s">
        <v>50</v>
      </c>
      <c r="Y172" t="s">
        <v>51</v>
      </c>
      <c r="Z172" t="s">
        <v>61</v>
      </c>
      <c r="AA172" t="s">
        <v>171</v>
      </c>
      <c r="AB172">
        <v>6</v>
      </c>
      <c r="AC172" t="s">
        <v>90</v>
      </c>
      <c r="AD172" t="s">
        <v>55</v>
      </c>
      <c r="AE172">
        <v>4.6399999999999997</v>
      </c>
      <c r="AF172">
        <v>4</v>
      </c>
      <c r="AG172">
        <v>5</v>
      </c>
      <c r="AH172" s="1">
        <v>46047</v>
      </c>
      <c r="AI172">
        <v>0</v>
      </c>
      <c r="AJ172">
        <v>14</v>
      </c>
      <c r="AK172">
        <v>1</v>
      </c>
      <c r="AL172">
        <v>24.8</v>
      </c>
      <c r="AM172" t="s">
        <v>499</v>
      </c>
      <c r="AN172">
        <v>7.7</v>
      </c>
      <c r="AO172" t="s">
        <v>521</v>
      </c>
      <c r="AP172">
        <v>5</v>
      </c>
    </row>
    <row r="173" spans="1:42" x14ac:dyDescent="0.2">
      <c r="A173" t="s">
        <v>331</v>
      </c>
      <c r="B173">
        <v>10096</v>
      </c>
      <c r="C173">
        <v>0</v>
      </c>
      <c r="D173">
        <v>4</v>
      </c>
      <c r="E173">
        <v>0</v>
      </c>
      <c r="F173">
        <v>5</v>
      </c>
      <c r="G173">
        <v>5</v>
      </c>
      <c r="H173">
        <v>3</v>
      </c>
      <c r="I173">
        <v>0</v>
      </c>
      <c r="J173" s="2">
        <v>67237</v>
      </c>
      <c r="K173">
        <v>1</v>
      </c>
      <c r="L173">
        <v>20</v>
      </c>
      <c r="M173" t="s">
        <v>66</v>
      </c>
      <c r="N173" t="s">
        <v>44</v>
      </c>
      <c r="O173">
        <v>2122</v>
      </c>
      <c r="P173" s="1">
        <v>32868</v>
      </c>
      <c r="Q173" t="s">
        <v>67</v>
      </c>
      <c r="R173" t="s">
        <v>84</v>
      </c>
      <c r="S173" t="s">
        <v>47</v>
      </c>
      <c r="T173" t="s">
        <v>48</v>
      </c>
      <c r="U173" t="s">
        <v>49</v>
      </c>
      <c r="V173" s="1">
        <v>44385</v>
      </c>
      <c r="W173" s="1">
        <v>45550</v>
      </c>
      <c r="X173" t="s">
        <v>198</v>
      </c>
      <c r="Y173" t="s">
        <v>60</v>
      </c>
      <c r="Z173" t="s">
        <v>52</v>
      </c>
      <c r="AA173" t="s">
        <v>53</v>
      </c>
      <c r="AB173">
        <v>22</v>
      </c>
      <c r="AC173" t="s">
        <v>54</v>
      </c>
      <c r="AD173" t="s">
        <v>64</v>
      </c>
      <c r="AE173">
        <v>4.6500000000000004</v>
      </c>
      <c r="AF173">
        <v>4</v>
      </c>
      <c r="AG173">
        <v>0</v>
      </c>
      <c r="AH173" s="1">
        <v>45087</v>
      </c>
      <c r="AI173">
        <v>0</v>
      </c>
      <c r="AJ173">
        <v>15</v>
      </c>
      <c r="AK173">
        <v>0</v>
      </c>
      <c r="AL173">
        <v>36.799999999999997</v>
      </c>
      <c r="AM173" t="s">
        <v>501</v>
      </c>
      <c r="AN173">
        <v>5.0999999999999996</v>
      </c>
      <c r="AO173" t="s">
        <v>521</v>
      </c>
      <c r="AP173">
        <v>5</v>
      </c>
    </row>
    <row r="174" spans="1:42" x14ac:dyDescent="0.2">
      <c r="A174" t="s">
        <v>332</v>
      </c>
      <c r="B174">
        <v>10035</v>
      </c>
      <c r="C174">
        <v>0</v>
      </c>
      <c r="D174">
        <v>0</v>
      </c>
      <c r="E174">
        <v>0</v>
      </c>
      <c r="F174">
        <v>1</v>
      </c>
      <c r="G174">
        <v>5</v>
      </c>
      <c r="H174">
        <v>4</v>
      </c>
      <c r="I174">
        <v>0</v>
      </c>
      <c r="J174" s="2">
        <v>73330</v>
      </c>
      <c r="K174">
        <v>0</v>
      </c>
      <c r="L174">
        <v>20</v>
      </c>
      <c r="M174" t="s">
        <v>66</v>
      </c>
      <c r="N174" t="s">
        <v>44</v>
      </c>
      <c r="O174">
        <v>2324</v>
      </c>
      <c r="P174" s="1">
        <v>34786</v>
      </c>
      <c r="Q174" t="s">
        <v>67</v>
      </c>
      <c r="R174" t="s">
        <v>46</v>
      </c>
      <c r="S174" t="s">
        <v>47</v>
      </c>
      <c r="T174" t="s">
        <v>48</v>
      </c>
      <c r="U174" t="s">
        <v>88</v>
      </c>
      <c r="V174" s="1">
        <v>44427</v>
      </c>
      <c r="W174" s="1" t="s">
        <v>492</v>
      </c>
      <c r="X174" t="s">
        <v>50</v>
      </c>
      <c r="Y174" t="s">
        <v>51</v>
      </c>
      <c r="Z174" t="s">
        <v>52</v>
      </c>
      <c r="AA174" t="s">
        <v>71</v>
      </c>
      <c r="AB174">
        <v>16</v>
      </c>
      <c r="AC174" t="s">
        <v>63</v>
      </c>
      <c r="AD174" t="s">
        <v>55</v>
      </c>
      <c r="AE174">
        <v>4.2</v>
      </c>
      <c r="AF174">
        <v>4</v>
      </c>
      <c r="AG174">
        <v>0</v>
      </c>
      <c r="AH174" s="1">
        <v>46065</v>
      </c>
      <c r="AI174">
        <v>0</v>
      </c>
      <c r="AJ174">
        <v>19</v>
      </c>
      <c r="AK174">
        <v>1</v>
      </c>
      <c r="AL174">
        <v>31.5</v>
      </c>
      <c r="AM174" t="s">
        <v>500</v>
      </c>
      <c r="AN174">
        <v>5</v>
      </c>
      <c r="AO174" t="s">
        <v>508</v>
      </c>
      <c r="AP174">
        <v>4</v>
      </c>
    </row>
    <row r="175" spans="1:42" x14ac:dyDescent="0.2">
      <c r="A175" t="s">
        <v>333</v>
      </c>
      <c r="B175">
        <v>10057</v>
      </c>
      <c r="C175">
        <v>1</v>
      </c>
      <c r="D175">
        <v>1</v>
      </c>
      <c r="E175">
        <v>0</v>
      </c>
      <c r="F175">
        <v>3</v>
      </c>
      <c r="G175">
        <v>5</v>
      </c>
      <c r="H175">
        <v>3</v>
      </c>
      <c r="I175">
        <v>0</v>
      </c>
      <c r="J175" s="2">
        <v>52057</v>
      </c>
      <c r="K175">
        <v>0</v>
      </c>
      <c r="L175">
        <v>19</v>
      </c>
      <c r="M175" t="s">
        <v>43</v>
      </c>
      <c r="N175" t="s">
        <v>44</v>
      </c>
      <c r="O175">
        <v>2122</v>
      </c>
      <c r="P175" s="1">
        <v>32438</v>
      </c>
      <c r="Q175" t="s">
        <v>67</v>
      </c>
      <c r="R175" t="s">
        <v>58</v>
      </c>
      <c r="S175" t="s">
        <v>47</v>
      </c>
      <c r="T175" t="s">
        <v>48</v>
      </c>
      <c r="U175" t="s">
        <v>88</v>
      </c>
      <c r="V175" s="1">
        <v>44973</v>
      </c>
      <c r="W175" s="1" t="s">
        <v>492</v>
      </c>
      <c r="X175" t="s">
        <v>50</v>
      </c>
      <c r="Y175" t="s">
        <v>51</v>
      </c>
      <c r="Z175" t="s">
        <v>52</v>
      </c>
      <c r="AA175" t="s">
        <v>71</v>
      </c>
      <c r="AB175">
        <v>16</v>
      </c>
      <c r="AC175" t="s">
        <v>206</v>
      </c>
      <c r="AD175" t="s">
        <v>64</v>
      </c>
      <c r="AE175">
        <v>5</v>
      </c>
      <c r="AF175">
        <v>3</v>
      </c>
      <c r="AG175">
        <v>0</v>
      </c>
      <c r="AH175" s="1">
        <v>46045</v>
      </c>
      <c r="AI175">
        <v>0</v>
      </c>
      <c r="AJ175">
        <v>6</v>
      </c>
      <c r="AK175">
        <v>1</v>
      </c>
      <c r="AL175">
        <v>37.799999999999997</v>
      </c>
      <c r="AM175" t="s">
        <v>501</v>
      </c>
      <c r="AN175">
        <v>3.6</v>
      </c>
      <c r="AO175" t="s">
        <v>508</v>
      </c>
      <c r="AP175">
        <v>4</v>
      </c>
    </row>
    <row r="176" spans="1:42" x14ac:dyDescent="0.2">
      <c r="A176" t="s">
        <v>334</v>
      </c>
      <c r="B176">
        <v>10004</v>
      </c>
      <c r="C176">
        <v>0</v>
      </c>
      <c r="D176">
        <v>0</v>
      </c>
      <c r="E176">
        <v>0</v>
      </c>
      <c r="F176">
        <v>5</v>
      </c>
      <c r="G176">
        <v>5</v>
      </c>
      <c r="H176">
        <v>4</v>
      </c>
      <c r="I176">
        <v>1</v>
      </c>
      <c r="J176" s="2">
        <v>47434</v>
      </c>
      <c r="K176">
        <v>1</v>
      </c>
      <c r="L176">
        <v>19</v>
      </c>
      <c r="M176" t="s">
        <v>43</v>
      </c>
      <c r="N176" t="s">
        <v>44</v>
      </c>
      <c r="O176">
        <v>1844</v>
      </c>
      <c r="P176" s="1">
        <v>31457</v>
      </c>
      <c r="Q176" t="s">
        <v>67</v>
      </c>
      <c r="R176" t="s">
        <v>46</v>
      </c>
      <c r="S176" t="s">
        <v>47</v>
      </c>
      <c r="T176" t="s">
        <v>95</v>
      </c>
      <c r="U176" t="s">
        <v>88</v>
      </c>
      <c r="V176" s="1">
        <v>43776</v>
      </c>
      <c r="W176" s="1">
        <v>45244</v>
      </c>
      <c r="X176" t="s">
        <v>96</v>
      </c>
      <c r="Y176" t="s">
        <v>60</v>
      </c>
      <c r="Z176" t="s">
        <v>52</v>
      </c>
      <c r="AA176" t="s">
        <v>75</v>
      </c>
      <c r="AB176">
        <v>39</v>
      </c>
      <c r="AC176" t="s">
        <v>90</v>
      </c>
      <c r="AD176" t="s">
        <v>55</v>
      </c>
      <c r="AE176">
        <v>5</v>
      </c>
      <c r="AF176">
        <v>4</v>
      </c>
      <c r="AG176">
        <v>0</v>
      </c>
      <c r="AH176" s="1">
        <v>44594</v>
      </c>
      <c r="AI176">
        <v>0</v>
      </c>
      <c r="AJ176">
        <v>17</v>
      </c>
      <c r="AK176">
        <v>0</v>
      </c>
      <c r="AL176">
        <v>40.6</v>
      </c>
      <c r="AM176" t="s">
        <v>501</v>
      </c>
      <c r="AN176">
        <v>6.8</v>
      </c>
      <c r="AO176" t="s">
        <v>521</v>
      </c>
      <c r="AP176">
        <v>5</v>
      </c>
    </row>
    <row r="177" spans="1:42" x14ac:dyDescent="0.2">
      <c r="A177" t="s">
        <v>335</v>
      </c>
      <c r="B177">
        <v>10191</v>
      </c>
      <c r="C177">
        <v>0</v>
      </c>
      <c r="D177">
        <v>4</v>
      </c>
      <c r="E177">
        <v>1</v>
      </c>
      <c r="F177">
        <v>5</v>
      </c>
      <c r="G177">
        <v>5</v>
      </c>
      <c r="H177">
        <v>3</v>
      </c>
      <c r="I177">
        <v>0</v>
      </c>
      <c r="J177" s="2">
        <v>52788</v>
      </c>
      <c r="K177">
        <v>1</v>
      </c>
      <c r="L177">
        <v>19</v>
      </c>
      <c r="M177" t="s">
        <v>43</v>
      </c>
      <c r="N177" t="s">
        <v>44</v>
      </c>
      <c r="O177">
        <v>1938</v>
      </c>
      <c r="P177" s="1">
        <v>31360</v>
      </c>
      <c r="Q177" t="s">
        <v>45</v>
      </c>
      <c r="R177" t="s">
        <v>84</v>
      </c>
      <c r="S177" t="s">
        <v>47</v>
      </c>
      <c r="T177" t="s">
        <v>48</v>
      </c>
      <c r="U177" t="s">
        <v>49</v>
      </c>
      <c r="V177" s="1">
        <v>44098</v>
      </c>
      <c r="W177" s="1">
        <v>45926</v>
      </c>
      <c r="X177" t="s">
        <v>68</v>
      </c>
      <c r="Y177" t="s">
        <v>60</v>
      </c>
      <c r="Z177" t="s">
        <v>52</v>
      </c>
      <c r="AA177" t="s">
        <v>78</v>
      </c>
      <c r="AB177">
        <v>11</v>
      </c>
      <c r="AC177" t="s">
        <v>63</v>
      </c>
      <c r="AD177" t="s">
        <v>64</v>
      </c>
      <c r="AE177">
        <v>3.08</v>
      </c>
      <c r="AF177">
        <v>4</v>
      </c>
      <c r="AG177">
        <v>0</v>
      </c>
      <c r="AH177" s="1">
        <v>45383</v>
      </c>
      <c r="AI177">
        <v>0</v>
      </c>
      <c r="AJ177">
        <v>18</v>
      </c>
      <c r="AK177">
        <v>0</v>
      </c>
      <c r="AL177">
        <v>40.799999999999997</v>
      </c>
      <c r="AM177" t="s">
        <v>501</v>
      </c>
      <c r="AN177">
        <v>5.8</v>
      </c>
      <c r="AO177" t="s">
        <v>521</v>
      </c>
      <c r="AP177">
        <v>5</v>
      </c>
    </row>
    <row r="178" spans="1:42" x14ac:dyDescent="0.2">
      <c r="A178" t="s">
        <v>336</v>
      </c>
      <c r="B178">
        <v>10219</v>
      </c>
      <c r="C178">
        <v>0</v>
      </c>
      <c r="D178">
        <v>0</v>
      </c>
      <c r="E178">
        <v>0</v>
      </c>
      <c r="F178">
        <v>1</v>
      </c>
      <c r="G178">
        <v>5</v>
      </c>
      <c r="H178">
        <v>3</v>
      </c>
      <c r="I178">
        <v>0</v>
      </c>
      <c r="J178" s="2">
        <v>45395</v>
      </c>
      <c r="K178">
        <v>0</v>
      </c>
      <c r="L178">
        <v>19</v>
      </c>
      <c r="M178" t="s">
        <v>43</v>
      </c>
      <c r="N178" t="s">
        <v>44</v>
      </c>
      <c r="O178">
        <v>2189</v>
      </c>
      <c r="P178" s="1">
        <v>36348</v>
      </c>
      <c r="Q178" t="s">
        <v>67</v>
      </c>
      <c r="R178" t="s">
        <v>46</v>
      </c>
      <c r="S178" t="s">
        <v>47</v>
      </c>
      <c r="T178" t="s">
        <v>48</v>
      </c>
      <c r="U178" t="s">
        <v>49</v>
      </c>
      <c r="V178" s="1">
        <v>44567</v>
      </c>
      <c r="W178" s="1" t="s">
        <v>492</v>
      </c>
      <c r="X178" t="s">
        <v>50</v>
      </c>
      <c r="Y178" t="s">
        <v>51</v>
      </c>
      <c r="Z178" t="s">
        <v>52</v>
      </c>
      <c r="AA178" t="s">
        <v>85</v>
      </c>
      <c r="AB178">
        <v>19</v>
      </c>
      <c r="AC178" t="s">
        <v>54</v>
      </c>
      <c r="AD178" t="s">
        <v>64</v>
      </c>
      <c r="AE178">
        <v>4.5999999999999996</v>
      </c>
      <c r="AF178">
        <v>4</v>
      </c>
      <c r="AG178">
        <v>0</v>
      </c>
      <c r="AH178" s="1">
        <v>46079</v>
      </c>
      <c r="AI178">
        <v>0</v>
      </c>
      <c r="AJ178">
        <v>14</v>
      </c>
      <c r="AK178">
        <v>1</v>
      </c>
      <c r="AL178">
        <v>27.1</v>
      </c>
      <c r="AM178" t="s">
        <v>500</v>
      </c>
      <c r="AN178">
        <v>4.7</v>
      </c>
      <c r="AO178" t="s">
        <v>508</v>
      </c>
      <c r="AP178">
        <v>4</v>
      </c>
    </row>
    <row r="179" spans="1:42" x14ac:dyDescent="0.2">
      <c r="A179" t="s">
        <v>337</v>
      </c>
      <c r="B179">
        <v>10077</v>
      </c>
      <c r="C179">
        <v>1</v>
      </c>
      <c r="D179">
        <v>1</v>
      </c>
      <c r="E179">
        <v>0</v>
      </c>
      <c r="F179">
        <v>2</v>
      </c>
      <c r="G179">
        <v>5</v>
      </c>
      <c r="H179">
        <v>3</v>
      </c>
      <c r="I179">
        <v>0</v>
      </c>
      <c r="J179" s="2">
        <v>62385</v>
      </c>
      <c r="K179">
        <v>0</v>
      </c>
      <c r="L179">
        <v>20</v>
      </c>
      <c r="M179" t="s">
        <v>66</v>
      </c>
      <c r="N179" t="s">
        <v>44</v>
      </c>
      <c r="O179">
        <v>2324</v>
      </c>
      <c r="P179" s="1">
        <v>32745</v>
      </c>
      <c r="Q179" t="s">
        <v>67</v>
      </c>
      <c r="R179" t="s">
        <v>58</v>
      </c>
      <c r="S179" t="s">
        <v>47</v>
      </c>
      <c r="T179" t="s">
        <v>48</v>
      </c>
      <c r="U179" t="s">
        <v>49</v>
      </c>
      <c r="V179" s="1">
        <v>45423</v>
      </c>
      <c r="W179" s="1" t="s">
        <v>492</v>
      </c>
      <c r="X179" t="s">
        <v>50</v>
      </c>
      <c r="Y179" t="s">
        <v>51</v>
      </c>
      <c r="Z179" t="s">
        <v>52</v>
      </c>
      <c r="AA179" t="s">
        <v>75</v>
      </c>
      <c r="AC179" t="s">
        <v>54</v>
      </c>
      <c r="AD179" t="s">
        <v>64</v>
      </c>
      <c r="AE179">
        <v>5</v>
      </c>
      <c r="AF179">
        <v>3</v>
      </c>
      <c r="AG179">
        <v>0</v>
      </c>
      <c r="AH179" s="1">
        <v>46043</v>
      </c>
      <c r="AI179">
        <v>0</v>
      </c>
      <c r="AJ179">
        <v>4</v>
      </c>
      <c r="AK179">
        <v>1</v>
      </c>
      <c r="AL179">
        <v>37</v>
      </c>
      <c r="AM179" t="s">
        <v>501</v>
      </c>
      <c r="AN179">
        <v>2.2999999999999998</v>
      </c>
      <c r="AO179" t="s">
        <v>507</v>
      </c>
      <c r="AP179">
        <v>3</v>
      </c>
    </row>
    <row r="180" spans="1:42" x14ac:dyDescent="0.2">
      <c r="A180" t="s">
        <v>338</v>
      </c>
      <c r="B180">
        <v>10073</v>
      </c>
      <c r="C180">
        <v>1</v>
      </c>
      <c r="D180">
        <v>1</v>
      </c>
      <c r="E180">
        <v>0</v>
      </c>
      <c r="F180">
        <v>5</v>
      </c>
      <c r="G180">
        <v>5</v>
      </c>
      <c r="H180">
        <v>3</v>
      </c>
      <c r="I180">
        <v>0</v>
      </c>
      <c r="J180" s="2">
        <v>68407</v>
      </c>
      <c r="K180">
        <v>1</v>
      </c>
      <c r="L180">
        <v>20</v>
      </c>
      <c r="M180" t="s">
        <v>66</v>
      </c>
      <c r="N180" t="s">
        <v>44</v>
      </c>
      <c r="O180">
        <v>2176</v>
      </c>
      <c r="P180" s="1">
        <v>36504</v>
      </c>
      <c r="Q180" t="s">
        <v>67</v>
      </c>
      <c r="R180" t="s">
        <v>58</v>
      </c>
      <c r="S180" t="s">
        <v>47</v>
      </c>
      <c r="T180" t="s">
        <v>48</v>
      </c>
      <c r="U180" t="s">
        <v>104</v>
      </c>
      <c r="V180" s="1">
        <v>43651</v>
      </c>
      <c r="W180" s="1">
        <v>44062</v>
      </c>
      <c r="X180" t="s">
        <v>96</v>
      </c>
      <c r="Y180" t="s">
        <v>60</v>
      </c>
      <c r="Z180" t="s">
        <v>52</v>
      </c>
      <c r="AA180" t="s">
        <v>78</v>
      </c>
      <c r="AB180">
        <v>11</v>
      </c>
      <c r="AC180" t="s">
        <v>54</v>
      </c>
      <c r="AD180" t="s">
        <v>64</v>
      </c>
      <c r="AE180">
        <v>5</v>
      </c>
      <c r="AF180">
        <v>4</v>
      </c>
      <c r="AG180">
        <v>0</v>
      </c>
      <c r="AH180" s="1">
        <v>43648</v>
      </c>
      <c r="AI180">
        <v>0</v>
      </c>
      <c r="AJ180">
        <v>16</v>
      </c>
      <c r="AK180">
        <v>0</v>
      </c>
      <c r="AL180">
        <v>26.8</v>
      </c>
      <c r="AM180" t="s">
        <v>500</v>
      </c>
      <c r="AN180">
        <v>7.1</v>
      </c>
      <c r="AO180" t="s">
        <v>521</v>
      </c>
      <c r="AP180">
        <v>5</v>
      </c>
    </row>
    <row r="181" spans="1:42" x14ac:dyDescent="0.2">
      <c r="A181" t="s">
        <v>339</v>
      </c>
      <c r="B181">
        <v>10279</v>
      </c>
      <c r="C181">
        <v>1</v>
      </c>
      <c r="D181">
        <v>1</v>
      </c>
      <c r="E181">
        <v>0</v>
      </c>
      <c r="F181">
        <v>1</v>
      </c>
      <c r="G181">
        <v>5</v>
      </c>
      <c r="H181">
        <v>3</v>
      </c>
      <c r="I181">
        <v>0</v>
      </c>
      <c r="J181" s="2">
        <v>61349</v>
      </c>
      <c r="K181">
        <v>0</v>
      </c>
      <c r="L181">
        <v>19</v>
      </c>
      <c r="M181" t="s">
        <v>43</v>
      </c>
      <c r="N181" t="s">
        <v>44</v>
      </c>
      <c r="O181">
        <v>2451</v>
      </c>
      <c r="P181" s="1">
        <v>32088</v>
      </c>
      <c r="Q181" t="s">
        <v>67</v>
      </c>
      <c r="R181" t="s">
        <v>58</v>
      </c>
      <c r="S181" t="s">
        <v>47</v>
      </c>
      <c r="T181" t="s">
        <v>48</v>
      </c>
      <c r="U181" t="s">
        <v>49</v>
      </c>
      <c r="V181" s="1">
        <v>44511</v>
      </c>
      <c r="W181" s="1" t="s">
        <v>492</v>
      </c>
      <c r="X181" t="s">
        <v>50</v>
      </c>
      <c r="Y181" t="s">
        <v>51</v>
      </c>
      <c r="Z181" t="s">
        <v>52</v>
      </c>
      <c r="AA181" t="s">
        <v>89</v>
      </c>
      <c r="AB181">
        <v>12</v>
      </c>
      <c r="AC181" t="s">
        <v>54</v>
      </c>
      <c r="AD181" t="s">
        <v>64</v>
      </c>
      <c r="AE181">
        <v>4.0999999999999996</v>
      </c>
      <c r="AF181">
        <v>3</v>
      </c>
      <c r="AG181">
        <v>0</v>
      </c>
      <c r="AH181" s="1">
        <v>46044</v>
      </c>
      <c r="AI181">
        <v>0</v>
      </c>
      <c r="AJ181">
        <v>11</v>
      </c>
      <c r="AK181">
        <v>1</v>
      </c>
      <c r="AL181">
        <v>38.799999999999997</v>
      </c>
      <c r="AM181" t="s">
        <v>501</v>
      </c>
      <c r="AN181">
        <v>4.8</v>
      </c>
      <c r="AO181" t="s">
        <v>508</v>
      </c>
      <c r="AP181">
        <v>4</v>
      </c>
    </row>
    <row r="182" spans="1:42" x14ac:dyDescent="0.2">
      <c r="A182" t="s">
        <v>340</v>
      </c>
      <c r="B182">
        <v>10110</v>
      </c>
      <c r="C182">
        <v>0</v>
      </c>
      <c r="D182">
        <v>0</v>
      </c>
      <c r="E182">
        <v>0</v>
      </c>
      <c r="F182">
        <v>1</v>
      </c>
      <c r="G182">
        <v>4</v>
      </c>
      <c r="H182">
        <v>3</v>
      </c>
      <c r="I182">
        <v>0</v>
      </c>
      <c r="J182" s="2">
        <v>105688</v>
      </c>
      <c r="K182">
        <v>0</v>
      </c>
      <c r="L182">
        <v>24</v>
      </c>
      <c r="M182" t="s">
        <v>80</v>
      </c>
      <c r="N182" t="s">
        <v>44</v>
      </c>
      <c r="O182">
        <v>2135</v>
      </c>
      <c r="P182" s="1">
        <v>36837</v>
      </c>
      <c r="Q182" t="s">
        <v>67</v>
      </c>
      <c r="R182" t="s">
        <v>46</v>
      </c>
      <c r="S182" t="s">
        <v>47</v>
      </c>
      <c r="T182" t="s">
        <v>48</v>
      </c>
      <c r="U182" t="s">
        <v>118</v>
      </c>
      <c r="V182" s="1">
        <v>44511</v>
      </c>
      <c r="W182" s="1" t="s">
        <v>492</v>
      </c>
      <c r="X182" t="s">
        <v>50</v>
      </c>
      <c r="Y182" t="s">
        <v>51</v>
      </c>
      <c r="Z182" t="s">
        <v>81</v>
      </c>
      <c r="AA182" t="s">
        <v>82</v>
      </c>
      <c r="AB182">
        <v>10</v>
      </c>
      <c r="AC182" t="s">
        <v>76</v>
      </c>
      <c r="AD182" t="s">
        <v>64</v>
      </c>
      <c r="AE182">
        <v>4.5</v>
      </c>
      <c r="AF182">
        <v>5</v>
      </c>
      <c r="AG182">
        <v>4</v>
      </c>
      <c r="AH182" s="1">
        <v>46036</v>
      </c>
      <c r="AI182">
        <v>0</v>
      </c>
      <c r="AJ182">
        <v>14</v>
      </c>
      <c r="AK182">
        <v>1</v>
      </c>
      <c r="AL182">
        <v>25.8</v>
      </c>
      <c r="AM182" t="s">
        <v>500</v>
      </c>
      <c r="AN182">
        <v>4.8</v>
      </c>
      <c r="AO182" t="s">
        <v>508</v>
      </c>
      <c r="AP182">
        <v>4</v>
      </c>
    </row>
    <row r="183" spans="1:42" x14ac:dyDescent="0.2">
      <c r="A183" t="s">
        <v>341</v>
      </c>
      <c r="B183">
        <v>10053</v>
      </c>
      <c r="C183">
        <v>1</v>
      </c>
      <c r="D183">
        <v>1</v>
      </c>
      <c r="E183">
        <v>0</v>
      </c>
      <c r="F183">
        <v>1</v>
      </c>
      <c r="G183">
        <v>5</v>
      </c>
      <c r="H183">
        <v>3</v>
      </c>
      <c r="I183">
        <v>0</v>
      </c>
      <c r="J183" s="2">
        <v>54132</v>
      </c>
      <c r="K183">
        <v>0</v>
      </c>
      <c r="L183">
        <v>19</v>
      </c>
      <c r="M183" t="s">
        <v>43</v>
      </c>
      <c r="N183" t="s">
        <v>44</v>
      </c>
      <c r="O183">
        <v>2330</v>
      </c>
      <c r="P183" s="1">
        <v>33199</v>
      </c>
      <c r="Q183" t="s">
        <v>67</v>
      </c>
      <c r="R183" t="s">
        <v>58</v>
      </c>
      <c r="S183" t="s">
        <v>47</v>
      </c>
      <c r="T183" t="s">
        <v>48</v>
      </c>
      <c r="U183" t="s">
        <v>49</v>
      </c>
      <c r="V183" s="1">
        <v>43616</v>
      </c>
      <c r="W183" s="1" t="s">
        <v>492</v>
      </c>
      <c r="X183" t="s">
        <v>50</v>
      </c>
      <c r="Y183" t="s">
        <v>51</v>
      </c>
      <c r="Z183" t="s">
        <v>52</v>
      </c>
      <c r="AA183" t="s">
        <v>97</v>
      </c>
      <c r="AB183">
        <v>14</v>
      </c>
      <c r="AC183" t="s">
        <v>63</v>
      </c>
      <c r="AD183" t="s">
        <v>64</v>
      </c>
      <c r="AE183">
        <v>5</v>
      </c>
      <c r="AF183">
        <v>4</v>
      </c>
      <c r="AG183">
        <v>0</v>
      </c>
      <c r="AH183" s="1">
        <v>46032</v>
      </c>
      <c r="AI183">
        <v>0</v>
      </c>
      <c r="AJ183">
        <v>8</v>
      </c>
      <c r="AK183">
        <v>1</v>
      </c>
      <c r="AL183">
        <v>35.799999999999997</v>
      </c>
      <c r="AM183" t="s">
        <v>501</v>
      </c>
      <c r="AN183">
        <v>7.3</v>
      </c>
      <c r="AO183" t="s">
        <v>521</v>
      </c>
      <c r="AP183">
        <v>5</v>
      </c>
    </row>
    <row r="184" spans="1:42" x14ac:dyDescent="0.2">
      <c r="A184" t="s">
        <v>342</v>
      </c>
      <c r="B184">
        <v>10076</v>
      </c>
      <c r="C184">
        <v>0</v>
      </c>
      <c r="D184">
        <v>0</v>
      </c>
      <c r="E184">
        <v>0</v>
      </c>
      <c r="F184">
        <v>1</v>
      </c>
      <c r="G184">
        <v>5</v>
      </c>
      <c r="H184">
        <v>3</v>
      </c>
      <c r="I184">
        <v>0</v>
      </c>
      <c r="J184" s="2">
        <v>55315</v>
      </c>
      <c r="K184">
        <v>0</v>
      </c>
      <c r="L184">
        <v>20</v>
      </c>
      <c r="M184" t="s">
        <v>66</v>
      </c>
      <c r="N184" t="s">
        <v>44</v>
      </c>
      <c r="O184">
        <v>2149</v>
      </c>
      <c r="P184" s="1">
        <v>36667</v>
      </c>
      <c r="Q184" t="s">
        <v>67</v>
      </c>
      <c r="R184" t="s">
        <v>46</v>
      </c>
      <c r="S184" t="s">
        <v>47</v>
      </c>
      <c r="T184" t="s">
        <v>48</v>
      </c>
      <c r="U184" t="s">
        <v>88</v>
      </c>
      <c r="V184" s="1">
        <v>45015</v>
      </c>
      <c r="W184" s="1" t="s">
        <v>492</v>
      </c>
      <c r="X184" t="s">
        <v>50</v>
      </c>
      <c r="Y184" t="s">
        <v>51</v>
      </c>
      <c r="Z184" t="s">
        <v>52</v>
      </c>
      <c r="AA184" t="s">
        <v>85</v>
      </c>
      <c r="AB184">
        <v>19</v>
      </c>
      <c r="AC184" t="s">
        <v>54</v>
      </c>
      <c r="AD184" t="s">
        <v>64</v>
      </c>
      <c r="AE184">
        <v>5</v>
      </c>
      <c r="AF184">
        <v>5</v>
      </c>
      <c r="AG184">
        <v>0</v>
      </c>
      <c r="AH184" s="1">
        <v>46060</v>
      </c>
      <c r="AI184">
        <v>0</v>
      </c>
      <c r="AJ184">
        <v>16</v>
      </c>
      <c r="AK184">
        <v>1</v>
      </c>
      <c r="AL184">
        <v>26.3</v>
      </c>
      <c r="AM184" t="s">
        <v>500</v>
      </c>
      <c r="AN184">
        <v>3.5</v>
      </c>
      <c r="AO184" t="s">
        <v>508</v>
      </c>
      <c r="AP184">
        <v>4</v>
      </c>
    </row>
    <row r="185" spans="1:42" x14ac:dyDescent="0.2">
      <c r="A185" t="s">
        <v>343</v>
      </c>
      <c r="B185">
        <v>10145</v>
      </c>
      <c r="C185">
        <v>1</v>
      </c>
      <c r="D185">
        <v>1</v>
      </c>
      <c r="E185">
        <v>0</v>
      </c>
      <c r="F185">
        <v>1</v>
      </c>
      <c r="G185">
        <v>5</v>
      </c>
      <c r="H185">
        <v>3</v>
      </c>
      <c r="I185">
        <v>0</v>
      </c>
      <c r="J185" s="2">
        <v>62810</v>
      </c>
      <c r="K185">
        <v>0</v>
      </c>
      <c r="L185">
        <v>19</v>
      </c>
      <c r="M185" t="s">
        <v>43</v>
      </c>
      <c r="N185" t="s">
        <v>44</v>
      </c>
      <c r="O185">
        <v>2184</v>
      </c>
      <c r="P185" s="1">
        <v>36532</v>
      </c>
      <c r="Q185" t="s">
        <v>67</v>
      </c>
      <c r="R185" t="s">
        <v>58</v>
      </c>
      <c r="S185" t="s">
        <v>47</v>
      </c>
      <c r="T185" t="s">
        <v>48</v>
      </c>
      <c r="U185" t="s">
        <v>88</v>
      </c>
      <c r="V185" s="1">
        <v>44203</v>
      </c>
      <c r="W185" s="1" t="s">
        <v>492</v>
      </c>
      <c r="X185" t="s">
        <v>50</v>
      </c>
      <c r="Y185" t="s">
        <v>51</v>
      </c>
      <c r="Z185" t="s">
        <v>52</v>
      </c>
      <c r="AA185" t="s">
        <v>69</v>
      </c>
      <c r="AB185">
        <v>20</v>
      </c>
      <c r="AC185" t="s">
        <v>123</v>
      </c>
      <c r="AD185" t="s">
        <v>64</v>
      </c>
      <c r="AE185">
        <v>3.93</v>
      </c>
      <c r="AF185">
        <v>3</v>
      </c>
      <c r="AG185">
        <v>0</v>
      </c>
      <c r="AH185" s="1">
        <v>46052</v>
      </c>
      <c r="AI185">
        <v>0</v>
      </c>
      <c r="AJ185">
        <v>20</v>
      </c>
      <c r="AK185">
        <v>1</v>
      </c>
      <c r="AL185">
        <v>26.7</v>
      </c>
      <c r="AM185" t="s">
        <v>500</v>
      </c>
      <c r="AN185">
        <v>5.7</v>
      </c>
      <c r="AO185" t="s">
        <v>521</v>
      </c>
      <c r="AP185">
        <v>5</v>
      </c>
    </row>
    <row r="186" spans="1:42" x14ac:dyDescent="0.2">
      <c r="A186" t="s">
        <v>344</v>
      </c>
      <c r="B186">
        <v>10202</v>
      </c>
      <c r="C186">
        <v>1</v>
      </c>
      <c r="D186">
        <v>1</v>
      </c>
      <c r="E186">
        <v>1</v>
      </c>
      <c r="F186">
        <v>2</v>
      </c>
      <c r="G186">
        <v>6</v>
      </c>
      <c r="H186">
        <v>3</v>
      </c>
      <c r="I186">
        <v>0</v>
      </c>
      <c r="J186" s="2">
        <v>63291</v>
      </c>
      <c r="K186">
        <v>0</v>
      </c>
      <c r="L186">
        <v>3</v>
      </c>
      <c r="M186" t="s">
        <v>145</v>
      </c>
      <c r="N186" t="s">
        <v>102</v>
      </c>
      <c r="O186">
        <v>78789</v>
      </c>
      <c r="P186" s="1">
        <v>35612</v>
      </c>
      <c r="Q186" t="s">
        <v>45</v>
      </c>
      <c r="R186" t="s">
        <v>58</v>
      </c>
      <c r="S186" t="s">
        <v>47</v>
      </c>
      <c r="T186" t="s">
        <v>48</v>
      </c>
      <c r="U186" t="s">
        <v>104</v>
      </c>
      <c r="V186" s="1">
        <v>45479</v>
      </c>
      <c r="W186" s="1" t="s">
        <v>492</v>
      </c>
      <c r="X186" t="s">
        <v>50</v>
      </c>
      <c r="Y186" t="s">
        <v>51</v>
      </c>
      <c r="Z186" t="s">
        <v>5</v>
      </c>
      <c r="AA186" t="s">
        <v>165</v>
      </c>
      <c r="AB186">
        <v>21</v>
      </c>
      <c r="AC186" t="s">
        <v>206</v>
      </c>
      <c r="AD186" t="s">
        <v>64</v>
      </c>
      <c r="AE186">
        <v>3.4</v>
      </c>
      <c r="AF186">
        <v>4</v>
      </c>
      <c r="AG186">
        <v>0</v>
      </c>
      <c r="AH186" s="1">
        <v>46051</v>
      </c>
      <c r="AI186">
        <v>0</v>
      </c>
      <c r="AJ186">
        <v>7</v>
      </c>
      <c r="AK186">
        <v>1</v>
      </c>
      <c r="AL186">
        <v>29.1</v>
      </c>
      <c r="AM186" t="s">
        <v>500</v>
      </c>
      <c r="AN186">
        <v>2.1</v>
      </c>
      <c r="AO186" t="s">
        <v>507</v>
      </c>
      <c r="AP186">
        <v>3</v>
      </c>
    </row>
    <row r="187" spans="1:42" x14ac:dyDescent="0.2">
      <c r="A187" t="s">
        <v>345</v>
      </c>
      <c r="B187">
        <v>10128</v>
      </c>
      <c r="C187">
        <v>0</v>
      </c>
      <c r="D187">
        <v>0</v>
      </c>
      <c r="E187">
        <v>0</v>
      </c>
      <c r="F187">
        <v>5</v>
      </c>
      <c r="G187">
        <v>5</v>
      </c>
      <c r="H187">
        <v>3</v>
      </c>
      <c r="I187">
        <v>1</v>
      </c>
      <c r="J187" s="2">
        <v>62659</v>
      </c>
      <c r="K187">
        <v>1</v>
      </c>
      <c r="L187">
        <v>19</v>
      </c>
      <c r="M187" t="s">
        <v>43</v>
      </c>
      <c r="N187" t="s">
        <v>44</v>
      </c>
      <c r="O187">
        <v>1760</v>
      </c>
      <c r="P187" s="1">
        <v>29736</v>
      </c>
      <c r="Q187" t="s">
        <v>67</v>
      </c>
      <c r="R187" t="s">
        <v>46</v>
      </c>
      <c r="S187" t="s">
        <v>47</v>
      </c>
      <c r="T187" t="s">
        <v>48</v>
      </c>
      <c r="U187" t="s">
        <v>88</v>
      </c>
      <c r="V187" s="1">
        <v>43923</v>
      </c>
      <c r="W187" s="1">
        <v>45607</v>
      </c>
      <c r="X187" t="s">
        <v>96</v>
      </c>
      <c r="Y187" t="s">
        <v>60</v>
      </c>
      <c r="Z187" t="s">
        <v>52</v>
      </c>
      <c r="AA187" t="s">
        <v>105</v>
      </c>
      <c r="AB187">
        <v>18</v>
      </c>
      <c r="AC187" t="s">
        <v>90</v>
      </c>
      <c r="AD187" t="s">
        <v>64</v>
      </c>
      <c r="AE187">
        <v>4.18</v>
      </c>
      <c r="AF187">
        <v>4</v>
      </c>
      <c r="AG187">
        <v>0</v>
      </c>
      <c r="AH187" s="1">
        <v>44962</v>
      </c>
      <c r="AI187">
        <v>0</v>
      </c>
      <c r="AJ187">
        <v>17</v>
      </c>
      <c r="AK187">
        <v>0</v>
      </c>
      <c r="AL187">
        <v>45.3</v>
      </c>
      <c r="AM187" t="s">
        <v>502</v>
      </c>
      <c r="AN187">
        <v>6.4</v>
      </c>
      <c r="AO187" t="s">
        <v>521</v>
      </c>
      <c r="AP187">
        <v>5</v>
      </c>
    </row>
    <row r="188" spans="1:42" x14ac:dyDescent="0.2">
      <c r="A188" t="s">
        <v>346</v>
      </c>
      <c r="B188">
        <v>10068</v>
      </c>
      <c r="C188">
        <v>0</v>
      </c>
      <c r="D188">
        <v>0</v>
      </c>
      <c r="E188">
        <v>0</v>
      </c>
      <c r="F188">
        <v>1</v>
      </c>
      <c r="G188">
        <v>5</v>
      </c>
      <c r="H188">
        <v>3</v>
      </c>
      <c r="I188">
        <v>0</v>
      </c>
      <c r="J188" s="2">
        <v>55688</v>
      </c>
      <c r="K188">
        <v>0</v>
      </c>
      <c r="L188">
        <v>19</v>
      </c>
      <c r="M188" t="s">
        <v>43</v>
      </c>
      <c r="N188" t="s">
        <v>44</v>
      </c>
      <c r="O188">
        <v>2346</v>
      </c>
      <c r="P188" s="1">
        <v>32773</v>
      </c>
      <c r="Q188" t="s">
        <v>67</v>
      </c>
      <c r="R188" t="s">
        <v>46</v>
      </c>
      <c r="S188" t="s">
        <v>47</v>
      </c>
      <c r="T188" t="s">
        <v>48</v>
      </c>
      <c r="U188" t="s">
        <v>49</v>
      </c>
      <c r="V188" s="1">
        <v>45015</v>
      </c>
      <c r="W188" s="1" t="s">
        <v>492</v>
      </c>
      <c r="X188" t="s">
        <v>50</v>
      </c>
      <c r="Y188" t="s">
        <v>51</v>
      </c>
      <c r="Z188" t="s">
        <v>52</v>
      </c>
      <c r="AA188" t="s">
        <v>53</v>
      </c>
      <c r="AB188">
        <v>22</v>
      </c>
      <c r="AC188" t="s">
        <v>123</v>
      </c>
      <c r="AD188" t="s">
        <v>64</v>
      </c>
      <c r="AE188">
        <v>5</v>
      </c>
      <c r="AF188">
        <v>4</v>
      </c>
      <c r="AG188">
        <v>0</v>
      </c>
      <c r="AH188" s="1">
        <v>46043</v>
      </c>
      <c r="AI188">
        <v>0</v>
      </c>
      <c r="AJ188">
        <v>10</v>
      </c>
      <c r="AK188">
        <v>1</v>
      </c>
      <c r="AL188">
        <v>36.799999999999997</v>
      </c>
      <c r="AM188" t="s">
        <v>501</v>
      </c>
      <c r="AN188">
        <v>3.5</v>
      </c>
      <c r="AO188" t="s">
        <v>508</v>
      </c>
      <c r="AP188">
        <v>4</v>
      </c>
    </row>
    <row r="189" spans="1:42" x14ac:dyDescent="0.2">
      <c r="A189" t="s">
        <v>347</v>
      </c>
      <c r="B189">
        <v>10116</v>
      </c>
      <c r="C189">
        <v>0</v>
      </c>
      <c r="D189">
        <v>0</v>
      </c>
      <c r="E189">
        <v>1</v>
      </c>
      <c r="F189">
        <v>1</v>
      </c>
      <c r="G189">
        <v>5</v>
      </c>
      <c r="H189">
        <v>3</v>
      </c>
      <c r="I189">
        <v>0</v>
      </c>
      <c r="J189" s="2">
        <v>83667</v>
      </c>
      <c r="K189">
        <v>0</v>
      </c>
      <c r="L189">
        <v>18</v>
      </c>
      <c r="M189" t="s">
        <v>135</v>
      </c>
      <c r="N189" t="s">
        <v>44</v>
      </c>
      <c r="O189">
        <v>2045</v>
      </c>
      <c r="P189" s="1">
        <v>34556</v>
      </c>
      <c r="Q189" t="s">
        <v>45</v>
      </c>
      <c r="R189" t="s">
        <v>46</v>
      </c>
      <c r="S189" t="s">
        <v>47</v>
      </c>
      <c r="T189" t="s">
        <v>348</v>
      </c>
      <c r="U189" t="s">
        <v>349</v>
      </c>
      <c r="V189" s="1">
        <v>44059</v>
      </c>
      <c r="W189" s="1" t="s">
        <v>492</v>
      </c>
      <c r="X189" t="s">
        <v>50</v>
      </c>
      <c r="Y189" t="s">
        <v>51</v>
      </c>
      <c r="Z189" t="s">
        <v>52</v>
      </c>
      <c r="AA189" t="s">
        <v>137</v>
      </c>
      <c r="AB189">
        <v>2</v>
      </c>
      <c r="AC189" t="s">
        <v>63</v>
      </c>
      <c r="AD189" t="s">
        <v>64</v>
      </c>
      <c r="AE189">
        <v>4.37</v>
      </c>
      <c r="AF189">
        <v>3</v>
      </c>
      <c r="AG189">
        <v>0</v>
      </c>
      <c r="AH189" s="1">
        <v>46036</v>
      </c>
      <c r="AI189">
        <v>0</v>
      </c>
      <c r="AJ189">
        <v>2</v>
      </c>
      <c r="AK189">
        <v>1</v>
      </c>
      <c r="AL189">
        <v>32</v>
      </c>
      <c r="AM189" t="s">
        <v>500</v>
      </c>
      <c r="AN189">
        <v>6</v>
      </c>
      <c r="AO189" t="s">
        <v>521</v>
      </c>
      <c r="AP189">
        <v>5</v>
      </c>
    </row>
    <row r="190" spans="1:42" x14ac:dyDescent="0.2">
      <c r="A190" t="s">
        <v>350</v>
      </c>
      <c r="B190">
        <v>10298</v>
      </c>
      <c r="C190">
        <v>0</v>
      </c>
      <c r="D190">
        <v>0</v>
      </c>
      <c r="E190">
        <v>1</v>
      </c>
      <c r="F190">
        <v>5</v>
      </c>
      <c r="G190">
        <v>5</v>
      </c>
      <c r="H190">
        <v>1</v>
      </c>
      <c r="I190">
        <v>0</v>
      </c>
      <c r="J190" s="2">
        <v>55800</v>
      </c>
      <c r="K190">
        <v>1</v>
      </c>
      <c r="L190">
        <v>20</v>
      </c>
      <c r="M190" t="s">
        <v>66</v>
      </c>
      <c r="N190" t="s">
        <v>44</v>
      </c>
      <c r="O190">
        <v>2472</v>
      </c>
      <c r="P190" s="1">
        <v>35975</v>
      </c>
      <c r="Q190" t="s">
        <v>45</v>
      </c>
      <c r="R190" t="s">
        <v>46</v>
      </c>
      <c r="S190" t="s">
        <v>47</v>
      </c>
      <c r="T190" t="s">
        <v>48</v>
      </c>
      <c r="U190" t="s">
        <v>49</v>
      </c>
      <c r="V190" s="1">
        <v>43692</v>
      </c>
      <c r="W190" s="1">
        <v>44808</v>
      </c>
      <c r="X190" t="s">
        <v>99</v>
      </c>
      <c r="Y190" t="s">
        <v>60</v>
      </c>
      <c r="Z190" t="s">
        <v>52</v>
      </c>
      <c r="AA190" t="s">
        <v>89</v>
      </c>
      <c r="AB190">
        <v>12</v>
      </c>
      <c r="AC190" t="s">
        <v>54</v>
      </c>
      <c r="AD190" t="s">
        <v>196</v>
      </c>
      <c r="AE190">
        <v>3</v>
      </c>
      <c r="AF190">
        <v>2</v>
      </c>
      <c r="AG190">
        <v>0</v>
      </c>
      <c r="AH190" s="1">
        <v>43844</v>
      </c>
      <c r="AI190">
        <v>6</v>
      </c>
      <c r="AJ190">
        <v>6</v>
      </c>
      <c r="AK190">
        <v>0</v>
      </c>
      <c r="AL190">
        <v>28.2</v>
      </c>
      <c r="AM190" t="s">
        <v>500</v>
      </c>
      <c r="AN190">
        <v>7</v>
      </c>
      <c r="AO190" t="s">
        <v>521</v>
      </c>
      <c r="AP190">
        <v>5</v>
      </c>
    </row>
    <row r="191" spans="1:42" x14ac:dyDescent="0.2">
      <c r="A191" t="s">
        <v>351</v>
      </c>
      <c r="B191">
        <v>10213</v>
      </c>
      <c r="C191">
        <v>1</v>
      </c>
      <c r="D191">
        <v>1</v>
      </c>
      <c r="E191">
        <v>1</v>
      </c>
      <c r="F191">
        <v>1</v>
      </c>
      <c r="G191">
        <v>5</v>
      </c>
      <c r="H191">
        <v>3</v>
      </c>
      <c r="I191">
        <v>0</v>
      </c>
      <c r="J191" s="2">
        <v>58207</v>
      </c>
      <c r="K191">
        <v>0</v>
      </c>
      <c r="L191">
        <v>20</v>
      </c>
      <c r="M191" t="s">
        <v>66</v>
      </c>
      <c r="N191" t="s">
        <v>44</v>
      </c>
      <c r="O191">
        <v>1450</v>
      </c>
      <c r="P191" s="1">
        <v>38581</v>
      </c>
      <c r="Q191" t="s">
        <v>45</v>
      </c>
      <c r="R191" t="s">
        <v>58</v>
      </c>
      <c r="S191" t="s">
        <v>47</v>
      </c>
      <c r="T191" t="s">
        <v>48</v>
      </c>
      <c r="U191" t="s">
        <v>49</v>
      </c>
      <c r="V191" s="1">
        <v>43776</v>
      </c>
      <c r="W191" s="1" t="s">
        <v>492</v>
      </c>
      <c r="X191" t="s">
        <v>50</v>
      </c>
      <c r="Y191" t="s">
        <v>51</v>
      </c>
      <c r="Z191" t="s">
        <v>52</v>
      </c>
      <c r="AA191" t="s">
        <v>97</v>
      </c>
      <c r="AB191">
        <v>14</v>
      </c>
      <c r="AC191" t="s">
        <v>54</v>
      </c>
      <c r="AD191" t="s">
        <v>64</v>
      </c>
      <c r="AE191">
        <v>3.7</v>
      </c>
      <c r="AF191">
        <v>3</v>
      </c>
      <c r="AG191">
        <v>0</v>
      </c>
      <c r="AH191" s="1">
        <v>46030</v>
      </c>
      <c r="AI191">
        <v>0</v>
      </c>
      <c r="AJ191">
        <v>14</v>
      </c>
      <c r="AK191">
        <v>1</v>
      </c>
      <c r="AL191">
        <v>21</v>
      </c>
      <c r="AM191" t="s">
        <v>499</v>
      </c>
      <c r="AN191">
        <v>6.8</v>
      </c>
      <c r="AO191" t="s">
        <v>521</v>
      </c>
      <c r="AP191">
        <v>5</v>
      </c>
    </row>
    <row r="192" spans="1:42" x14ac:dyDescent="0.2">
      <c r="A192" t="s">
        <v>352</v>
      </c>
      <c r="B192">
        <v>10288</v>
      </c>
      <c r="C192">
        <v>1</v>
      </c>
      <c r="D192">
        <v>1</v>
      </c>
      <c r="E192">
        <v>1</v>
      </c>
      <c r="F192">
        <v>1</v>
      </c>
      <c r="G192">
        <v>3</v>
      </c>
      <c r="H192">
        <v>2</v>
      </c>
      <c r="I192">
        <v>1</v>
      </c>
      <c r="J192" s="2">
        <v>157000</v>
      </c>
      <c r="K192">
        <v>0</v>
      </c>
      <c r="L192">
        <v>13</v>
      </c>
      <c r="M192" t="s">
        <v>353</v>
      </c>
      <c r="N192" t="s">
        <v>44</v>
      </c>
      <c r="O192">
        <v>2134</v>
      </c>
      <c r="P192" s="1">
        <v>36438</v>
      </c>
      <c r="Q192" t="s">
        <v>45</v>
      </c>
      <c r="R192" t="s">
        <v>58</v>
      </c>
      <c r="S192" t="s">
        <v>113</v>
      </c>
      <c r="T192" t="s">
        <v>95</v>
      </c>
      <c r="U192" t="s">
        <v>88</v>
      </c>
      <c r="V192" s="1">
        <v>43876</v>
      </c>
      <c r="W192" s="1" t="s">
        <v>492</v>
      </c>
      <c r="X192" t="s">
        <v>50</v>
      </c>
      <c r="Y192" t="s">
        <v>51</v>
      </c>
      <c r="Z192" t="s">
        <v>61</v>
      </c>
      <c r="AA192" t="s">
        <v>152</v>
      </c>
      <c r="AB192">
        <v>5</v>
      </c>
      <c r="AC192" t="s">
        <v>90</v>
      </c>
      <c r="AD192" t="s">
        <v>124</v>
      </c>
      <c r="AE192">
        <v>2.39</v>
      </c>
      <c r="AF192">
        <v>3</v>
      </c>
      <c r="AG192">
        <v>6</v>
      </c>
      <c r="AH192" s="1">
        <v>46075</v>
      </c>
      <c r="AI192">
        <v>4</v>
      </c>
      <c r="AJ192">
        <v>13</v>
      </c>
      <c r="AK192">
        <v>1</v>
      </c>
      <c r="AL192">
        <v>26.8</v>
      </c>
      <c r="AM192" t="s">
        <v>500</v>
      </c>
      <c r="AN192">
        <v>6.6</v>
      </c>
      <c r="AO192" t="s">
        <v>521</v>
      </c>
      <c r="AP192">
        <v>5</v>
      </c>
    </row>
    <row r="193" spans="1:42" x14ac:dyDescent="0.2">
      <c r="A193" t="s">
        <v>354</v>
      </c>
      <c r="B193">
        <v>10025</v>
      </c>
      <c r="C193">
        <v>0</v>
      </c>
      <c r="D193">
        <v>0</v>
      </c>
      <c r="E193">
        <v>0</v>
      </c>
      <c r="F193">
        <v>1</v>
      </c>
      <c r="G193">
        <v>5</v>
      </c>
      <c r="H193">
        <v>4</v>
      </c>
      <c r="I193">
        <v>0</v>
      </c>
      <c r="J193" s="2">
        <v>72460</v>
      </c>
      <c r="K193">
        <v>0</v>
      </c>
      <c r="L193">
        <v>20</v>
      </c>
      <c r="M193" t="s">
        <v>66</v>
      </c>
      <c r="N193" t="s">
        <v>44</v>
      </c>
      <c r="O193">
        <v>2126</v>
      </c>
      <c r="P193" s="1">
        <v>30430</v>
      </c>
      <c r="Q193" t="s">
        <v>67</v>
      </c>
      <c r="R193" t="s">
        <v>46</v>
      </c>
      <c r="S193" t="s">
        <v>47</v>
      </c>
      <c r="T193" t="s">
        <v>48</v>
      </c>
      <c r="U193" t="s">
        <v>88</v>
      </c>
      <c r="V193" s="1">
        <v>44329</v>
      </c>
      <c r="W193" s="1" t="s">
        <v>492</v>
      </c>
      <c r="X193" t="s">
        <v>50</v>
      </c>
      <c r="Y193" t="s">
        <v>51</v>
      </c>
      <c r="Z193" t="s">
        <v>52</v>
      </c>
      <c r="AA193" t="s">
        <v>69</v>
      </c>
      <c r="AB193">
        <v>20</v>
      </c>
      <c r="AC193" t="s">
        <v>63</v>
      </c>
      <c r="AD193" t="s">
        <v>55</v>
      </c>
      <c r="AE193">
        <v>4.7</v>
      </c>
      <c r="AF193">
        <v>3</v>
      </c>
      <c r="AG193">
        <v>0</v>
      </c>
      <c r="AH193" s="1">
        <v>46036</v>
      </c>
      <c r="AI193">
        <v>0</v>
      </c>
      <c r="AJ193">
        <v>1</v>
      </c>
      <c r="AK193">
        <v>1</v>
      </c>
      <c r="AL193">
        <v>43.4</v>
      </c>
      <c r="AM193" t="s">
        <v>501</v>
      </c>
      <c r="AN193">
        <v>5.3</v>
      </c>
      <c r="AO193" t="s">
        <v>521</v>
      </c>
      <c r="AP193">
        <v>5</v>
      </c>
    </row>
    <row r="194" spans="1:42" x14ac:dyDescent="0.2">
      <c r="A194" t="s">
        <v>355</v>
      </c>
      <c r="B194">
        <v>10223</v>
      </c>
      <c r="C194">
        <v>0</v>
      </c>
      <c r="D194">
        <v>0</v>
      </c>
      <c r="E194">
        <v>1</v>
      </c>
      <c r="F194">
        <v>3</v>
      </c>
      <c r="G194">
        <v>5</v>
      </c>
      <c r="H194">
        <v>3</v>
      </c>
      <c r="I194">
        <v>1</v>
      </c>
      <c r="J194" s="2">
        <v>72106</v>
      </c>
      <c r="K194">
        <v>0</v>
      </c>
      <c r="L194">
        <v>20</v>
      </c>
      <c r="M194" t="s">
        <v>66</v>
      </c>
      <c r="N194" t="s">
        <v>44</v>
      </c>
      <c r="O194">
        <v>2127</v>
      </c>
      <c r="P194" s="1">
        <v>32845</v>
      </c>
      <c r="Q194" t="s">
        <v>45</v>
      </c>
      <c r="R194" t="s">
        <v>46</v>
      </c>
      <c r="S194" t="s">
        <v>47</v>
      </c>
      <c r="T194" t="s">
        <v>48</v>
      </c>
      <c r="U194" t="s">
        <v>88</v>
      </c>
      <c r="V194" s="1">
        <v>43839</v>
      </c>
      <c r="W194" s="1" t="s">
        <v>492</v>
      </c>
      <c r="X194" t="s">
        <v>50</v>
      </c>
      <c r="Y194" t="s">
        <v>51</v>
      </c>
      <c r="Z194" t="s">
        <v>52</v>
      </c>
      <c r="AA194" t="s">
        <v>105</v>
      </c>
      <c r="AB194">
        <v>18</v>
      </c>
      <c r="AC194" t="s">
        <v>90</v>
      </c>
      <c r="AD194" t="s">
        <v>64</v>
      </c>
      <c r="AE194">
        <v>4.0999999999999996</v>
      </c>
      <c r="AF194">
        <v>4</v>
      </c>
      <c r="AG194">
        <v>0</v>
      </c>
      <c r="AH194" s="1">
        <v>46053</v>
      </c>
      <c r="AI194">
        <v>0</v>
      </c>
      <c r="AJ194">
        <v>12</v>
      </c>
      <c r="AK194">
        <v>1</v>
      </c>
      <c r="AL194">
        <v>36.799999999999997</v>
      </c>
      <c r="AM194" t="s">
        <v>501</v>
      </c>
      <c r="AN194">
        <v>6.7</v>
      </c>
      <c r="AO194" t="s">
        <v>521</v>
      </c>
      <c r="AP194">
        <v>5</v>
      </c>
    </row>
    <row r="195" spans="1:42" x14ac:dyDescent="0.2">
      <c r="A195" t="s">
        <v>356</v>
      </c>
      <c r="B195">
        <v>10151</v>
      </c>
      <c r="C195">
        <v>1</v>
      </c>
      <c r="D195">
        <v>1</v>
      </c>
      <c r="E195">
        <v>0</v>
      </c>
      <c r="F195">
        <v>1</v>
      </c>
      <c r="G195">
        <v>3</v>
      </c>
      <c r="H195">
        <v>3</v>
      </c>
      <c r="I195">
        <v>0</v>
      </c>
      <c r="J195" s="2">
        <v>52599</v>
      </c>
      <c r="K195">
        <v>0</v>
      </c>
      <c r="L195">
        <v>15</v>
      </c>
      <c r="M195" t="s">
        <v>230</v>
      </c>
      <c r="N195" t="s">
        <v>44</v>
      </c>
      <c r="O195">
        <v>2048</v>
      </c>
      <c r="P195" s="1">
        <v>33698</v>
      </c>
      <c r="Q195" t="s">
        <v>67</v>
      </c>
      <c r="R195" t="s">
        <v>58</v>
      </c>
      <c r="S195" t="s">
        <v>47</v>
      </c>
      <c r="T195" t="s">
        <v>48</v>
      </c>
      <c r="U195" t="s">
        <v>49</v>
      </c>
      <c r="V195" s="1">
        <v>44973</v>
      </c>
      <c r="W195" s="1" t="s">
        <v>492</v>
      </c>
      <c r="X195" t="s">
        <v>50</v>
      </c>
      <c r="Y195" t="s">
        <v>51</v>
      </c>
      <c r="Z195" t="s">
        <v>61</v>
      </c>
      <c r="AA195" t="s">
        <v>93</v>
      </c>
      <c r="AB195">
        <v>7</v>
      </c>
      <c r="AC195" t="s">
        <v>123</v>
      </c>
      <c r="AD195" t="s">
        <v>64</v>
      </c>
      <c r="AE195">
        <v>3.81</v>
      </c>
      <c r="AF195">
        <v>3</v>
      </c>
      <c r="AG195">
        <v>6</v>
      </c>
      <c r="AH195" s="1">
        <v>46064</v>
      </c>
      <c r="AI195">
        <v>0</v>
      </c>
      <c r="AJ195">
        <v>6</v>
      </c>
      <c r="AK195">
        <v>1</v>
      </c>
      <c r="AL195">
        <v>34.4</v>
      </c>
      <c r="AM195" t="s">
        <v>500</v>
      </c>
      <c r="AN195">
        <v>3.6</v>
      </c>
      <c r="AO195" t="s">
        <v>508</v>
      </c>
      <c r="AP195">
        <v>4</v>
      </c>
    </row>
    <row r="196" spans="1:42" x14ac:dyDescent="0.2">
      <c r="A196" t="s">
        <v>357</v>
      </c>
      <c r="B196">
        <v>10254</v>
      </c>
      <c r="C196">
        <v>0</v>
      </c>
      <c r="D196">
        <v>2</v>
      </c>
      <c r="E196">
        <v>0</v>
      </c>
      <c r="F196">
        <v>1</v>
      </c>
      <c r="G196">
        <v>5</v>
      </c>
      <c r="H196">
        <v>3</v>
      </c>
      <c r="I196">
        <v>0</v>
      </c>
      <c r="J196" s="2">
        <v>63430</v>
      </c>
      <c r="K196">
        <v>0</v>
      </c>
      <c r="L196">
        <v>19</v>
      </c>
      <c r="M196" t="s">
        <v>43</v>
      </c>
      <c r="N196" t="s">
        <v>44</v>
      </c>
      <c r="O196">
        <v>2453</v>
      </c>
      <c r="P196" s="1">
        <v>35618</v>
      </c>
      <c r="Q196" t="s">
        <v>67</v>
      </c>
      <c r="R196" t="s">
        <v>73</v>
      </c>
      <c r="S196" t="s">
        <v>47</v>
      </c>
      <c r="T196" t="s">
        <v>48</v>
      </c>
      <c r="U196" t="s">
        <v>49</v>
      </c>
      <c r="V196" s="1">
        <v>44287</v>
      </c>
      <c r="W196" s="1" t="s">
        <v>492</v>
      </c>
      <c r="X196" t="s">
        <v>50</v>
      </c>
      <c r="Y196" t="s">
        <v>51</v>
      </c>
      <c r="Z196" t="s">
        <v>52</v>
      </c>
      <c r="AA196" t="s">
        <v>71</v>
      </c>
      <c r="AB196">
        <v>16</v>
      </c>
      <c r="AC196" t="s">
        <v>54</v>
      </c>
      <c r="AD196" t="s">
        <v>64</v>
      </c>
      <c r="AE196">
        <v>4.4000000000000004</v>
      </c>
      <c r="AF196">
        <v>4</v>
      </c>
      <c r="AG196">
        <v>0</v>
      </c>
      <c r="AH196" s="1">
        <v>46039</v>
      </c>
      <c r="AI196">
        <v>0</v>
      </c>
      <c r="AJ196">
        <v>18</v>
      </c>
      <c r="AK196">
        <v>1</v>
      </c>
      <c r="AL196">
        <v>29.1</v>
      </c>
      <c r="AM196" t="s">
        <v>500</v>
      </c>
      <c r="AN196">
        <v>5.4</v>
      </c>
      <c r="AO196" t="s">
        <v>521</v>
      </c>
      <c r="AP196">
        <v>5</v>
      </c>
    </row>
    <row r="197" spans="1:42" x14ac:dyDescent="0.2">
      <c r="A197" t="s">
        <v>358</v>
      </c>
      <c r="B197">
        <v>10120</v>
      </c>
      <c r="C197">
        <v>0</v>
      </c>
      <c r="D197">
        <v>3</v>
      </c>
      <c r="E197">
        <v>1</v>
      </c>
      <c r="F197">
        <v>1</v>
      </c>
      <c r="G197">
        <v>5</v>
      </c>
      <c r="H197">
        <v>3</v>
      </c>
      <c r="I197">
        <v>0</v>
      </c>
      <c r="J197" s="2">
        <v>74417</v>
      </c>
      <c r="K197">
        <v>0</v>
      </c>
      <c r="L197">
        <v>20</v>
      </c>
      <c r="M197" t="s">
        <v>66</v>
      </c>
      <c r="N197" t="s">
        <v>44</v>
      </c>
      <c r="O197">
        <v>1460</v>
      </c>
      <c r="P197" s="1">
        <v>32112</v>
      </c>
      <c r="Q197" t="s">
        <v>45</v>
      </c>
      <c r="R197" t="s">
        <v>143</v>
      </c>
      <c r="S197" t="s">
        <v>47</v>
      </c>
      <c r="T197" t="s">
        <v>48</v>
      </c>
      <c r="U197" t="s">
        <v>88</v>
      </c>
      <c r="V197" s="1">
        <v>44329</v>
      </c>
      <c r="W197" s="1" t="s">
        <v>492</v>
      </c>
      <c r="X197" t="s">
        <v>50</v>
      </c>
      <c r="Y197" t="s">
        <v>51</v>
      </c>
      <c r="Z197" t="s">
        <v>52</v>
      </c>
      <c r="AA197" t="s">
        <v>53</v>
      </c>
      <c r="AB197">
        <v>22</v>
      </c>
      <c r="AC197" t="s">
        <v>54</v>
      </c>
      <c r="AD197" t="s">
        <v>64</v>
      </c>
      <c r="AE197">
        <v>4.29</v>
      </c>
      <c r="AF197">
        <v>5</v>
      </c>
      <c r="AG197">
        <v>0</v>
      </c>
      <c r="AH197" s="1">
        <v>46050</v>
      </c>
      <c r="AI197">
        <v>0</v>
      </c>
      <c r="AJ197">
        <v>11</v>
      </c>
      <c r="AK197">
        <v>1</v>
      </c>
      <c r="AL197">
        <v>38.799999999999997</v>
      </c>
      <c r="AM197" t="s">
        <v>501</v>
      </c>
      <c r="AN197">
        <v>5.3</v>
      </c>
      <c r="AO197" t="s">
        <v>521</v>
      </c>
      <c r="AP197">
        <v>5</v>
      </c>
    </row>
    <row r="198" spans="1:42" x14ac:dyDescent="0.2">
      <c r="A198" t="s">
        <v>359</v>
      </c>
      <c r="B198">
        <v>10216</v>
      </c>
      <c r="C198">
        <v>0</v>
      </c>
      <c r="D198">
        <v>0</v>
      </c>
      <c r="E198">
        <v>1</v>
      </c>
      <c r="F198">
        <v>1</v>
      </c>
      <c r="G198">
        <v>5</v>
      </c>
      <c r="H198">
        <v>3</v>
      </c>
      <c r="I198">
        <v>0</v>
      </c>
      <c r="J198" s="2">
        <v>57575</v>
      </c>
      <c r="K198">
        <v>0</v>
      </c>
      <c r="L198">
        <v>19</v>
      </c>
      <c r="M198" t="s">
        <v>43</v>
      </c>
      <c r="N198" t="s">
        <v>44</v>
      </c>
      <c r="O198">
        <v>1550</v>
      </c>
      <c r="P198" s="1">
        <v>34077</v>
      </c>
      <c r="Q198" t="s">
        <v>45</v>
      </c>
      <c r="R198" t="s">
        <v>46</v>
      </c>
      <c r="S198" t="s">
        <v>47</v>
      </c>
      <c r="T198" t="s">
        <v>48</v>
      </c>
      <c r="U198" t="s">
        <v>118</v>
      </c>
      <c r="V198" s="1">
        <v>44385</v>
      </c>
      <c r="W198" s="1" t="s">
        <v>492</v>
      </c>
      <c r="X198" t="s">
        <v>50</v>
      </c>
      <c r="Y198" t="s">
        <v>51</v>
      </c>
      <c r="Z198" t="s">
        <v>52</v>
      </c>
      <c r="AA198" t="s">
        <v>69</v>
      </c>
      <c r="AB198">
        <v>20</v>
      </c>
      <c r="AC198" t="s">
        <v>54</v>
      </c>
      <c r="AD198" t="s">
        <v>64</v>
      </c>
      <c r="AE198">
        <v>4.0999999999999996</v>
      </c>
      <c r="AF198">
        <v>4</v>
      </c>
      <c r="AG198">
        <v>0</v>
      </c>
      <c r="AH198" s="1">
        <v>46044</v>
      </c>
      <c r="AI198">
        <v>0</v>
      </c>
      <c r="AJ198">
        <v>13</v>
      </c>
      <c r="AK198">
        <v>1</v>
      </c>
      <c r="AL198">
        <v>33.4</v>
      </c>
      <c r="AM198" t="s">
        <v>500</v>
      </c>
      <c r="AN198">
        <v>5.0999999999999996</v>
      </c>
      <c r="AO198" t="s">
        <v>521</v>
      </c>
      <c r="AP198">
        <v>5</v>
      </c>
    </row>
    <row r="199" spans="1:42" x14ac:dyDescent="0.2">
      <c r="A199" t="s">
        <v>360</v>
      </c>
      <c r="B199">
        <v>10079</v>
      </c>
      <c r="C199">
        <v>0</v>
      </c>
      <c r="D199">
        <v>0</v>
      </c>
      <c r="E199">
        <v>1</v>
      </c>
      <c r="F199">
        <v>1</v>
      </c>
      <c r="G199">
        <v>3</v>
      </c>
      <c r="H199">
        <v>3</v>
      </c>
      <c r="I199">
        <v>0</v>
      </c>
      <c r="J199" s="2">
        <v>87921</v>
      </c>
      <c r="K199">
        <v>0</v>
      </c>
      <c r="L199">
        <v>22</v>
      </c>
      <c r="M199" t="s">
        <v>320</v>
      </c>
      <c r="N199" t="s">
        <v>44</v>
      </c>
      <c r="O199">
        <v>2056</v>
      </c>
      <c r="P199" s="1">
        <v>30431</v>
      </c>
      <c r="Q199" t="s">
        <v>45</v>
      </c>
      <c r="R199" t="s">
        <v>46</v>
      </c>
      <c r="S199" t="s">
        <v>47</v>
      </c>
      <c r="T199" t="s">
        <v>48</v>
      </c>
      <c r="U199" t="s">
        <v>118</v>
      </c>
      <c r="V199" s="1">
        <v>45698</v>
      </c>
      <c r="W199" s="1" t="s">
        <v>492</v>
      </c>
      <c r="X199" t="s">
        <v>50</v>
      </c>
      <c r="Y199" t="s">
        <v>51</v>
      </c>
      <c r="Z199" t="s">
        <v>61</v>
      </c>
      <c r="AA199" t="s">
        <v>202</v>
      </c>
      <c r="AB199">
        <v>13</v>
      </c>
      <c r="AC199" t="s">
        <v>63</v>
      </c>
      <c r="AD199" t="s">
        <v>64</v>
      </c>
      <c r="AE199">
        <v>5</v>
      </c>
      <c r="AF199">
        <v>3</v>
      </c>
      <c r="AG199">
        <v>6</v>
      </c>
      <c r="AH199" s="1">
        <v>46078</v>
      </c>
      <c r="AI199">
        <v>0</v>
      </c>
      <c r="AJ199">
        <v>17</v>
      </c>
      <c r="AK199">
        <v>1</v>
      </c>
      <c r="AL199">
        <v>43.4</v>
      </c>
      <c r="AM199" t="s">
        <v>501</v>
      </c>
      <c r="AN199">
        <v>1.6</v>
      </c>
      <c r="AO199" t="s">
        <v>506</v>
      </c>
      <c r="AP199">
        <v>2</v>
      </c>
    </row>
    <row r="200" spans="1:42" x14ac:dyDescent="0.2">
      <c r="A200" t="s">
        <v>361</v>
      </c>
      <c r="B200">
        <v>10215</v>
      </c>
      <c r="C200">
        <v>0</v>
      </c>
      <c r="D200">
        <v>0</v>
      </c>
      <c r="E200">
        <v>1</v>
      </c>
      <c r="F200">
        <v>5</v>
      </c>
      <c r="G200">
        <v>5</v>
      </c>
      <c r="H200">
        <v>3</v>
      </c>
      <c r="I200">
        <v>1</v>
      </c>
      <c r="J200" s="2">
        <v>50470</v>
      </c>
      <c r="K200">
        <v>1</v>
      </c>
      <c r="L200">
        <v>19</v>
      </c>
      <c r="M200" t="s">
        <v>43</v>
      </c>
      <c r="N200" t="s">
        <v>44</v>
      </c>
      <c r="O200">
        <v>2110</v>
      </c>
      <c r="P200" s="1">
        <v>37378</v>
      </c>
      <c r="Q200" t="s">
        <v>45</v>
      </c>
      <c r="R200" t="s">
        <v>46</v>
      </c>
      <c r="S200" t="s">
        <v>47</v>
      </c>
      <c r="T200" t="s">
        <v>48</v>
      </c>
      <c r="U200" t="s">
        <v>88</v>
      </c>
      <c r="V200" s="1">
        <v>43734</v>
      </c>
      <c r="W200" s="1">
        <v>44655</v>
      </c>
      <c r="X200" t="s">
        <v>74</v>
      </c>
      <c r="Y200" t="s">
        <v>60</v>
      </c>
      <c r="Z200" t="s">
        <v>52</v>
      </c>
      <c r="AA200" t="s">
        <v>75</v>
      </c>
      <c r="AB200">
        <v>39</v>
      </c>
      <c r="AC200" t="s">
        <v>90</v>
      </c>
      <c r="AD200" t="s">
        <v>64</v>
      </c>
      <c r="AE200">
        <v>4.3</v>
      </c>
      <c r="AF200">
        <v>3</v>
      </c>
      <c r="AG200">
        <v>0</v>
      </c>
      <c r="AH200" s="1">
        <v>43892</v>
      </c>
      <c r="AI200">
        <v>0</v>
      </c>
      <c r="AJ200">
        <v>19</v>
      </c>
      <c r="AK200">
        <v>0</v>
      </c>
      <c r="AL200">
        <v>24.3</v>
      </c>
      <c r="AM200" t="s">
        <v>499</v>
      </c>
      <c r="AN200">
        <v>6.8</v>
      </c>
      <c r="AO200" t="s">
        <v>521</v>
      </c>
      <c r="AP200">
        <v>5</v>
      </c>
    </row>
    <row r="201" spans="1:42" x14ac:dyDescent="0.2">
      <c r="A201" t="s">
        <v>362</v>
      </c>
      <c r="B201">
        <v>10185</v>
      </c>
      <c r="C201">
        <v>1</v>
      </c>
      <c r="D201">
        <v>1</v>
      </c>
      <c r="E201">
        <v>1</v>
      </c>
      <c r="F201">
        <v>5</v>
      </c>
      <c r="G201">
        <v>5</v>
      </c>
      <c r="H201">
        <v>3</v>
      </c>
      <c r="I201">
        <v>0</v>
      </c>
      <c r="J201" s="2">
        <v>46664</v>
      </c>
      <c r="K201">
        <v>1</v>
      </c>
      <c r="L201">
        <v>19</v>
      </c>
      <c r="M201" t="s">
        <v>43</v>
      </c>
      <c r="N201" t="s">
        <v>44</v>
      </c>
      <c r="O201">
        <v>2421</v>
      </c>
      <c r="P201" s="1">
        <v>35152</v>
      </c>
      <c r="Q201" t="s">
        <v>45</v>
      </c>
      <c r="R201" t="s">
        <v>58</v>
      </c>
      <c r="S201" t="s">
        <v>47</v>
      </c>
      <c r="T201" t="s">
        <v>48</v>
      </c>
      <c r="U201" t="s">
        <v>49</v>
      </c>
      <c r="V201" s="1">
        <v>44287</v>
      </c>
      <c r="W201" s="1">
        <v>45437</v>
      </c>
      <c r="X201" t="s">
        <v>198</v>
      </c>
      <c r="Y201" t="s">
        <v>60</v>
      </c>
      <c r="Z201" t="s">
        <v>52</v>
      </c>
      <c r="AA201" t="s">
        <v>78</v>
      </c>
      <c r="AB201">
        <v>11</v>
      </c>
      <c r="AC201" t="s">
        <v>86</v>
      </c>
      <c r="AD201" t="s">
        <v>64</v>
      </c>
      <c r="AE201">
        <v>3.18</v>
      </c>
      <c r="AF201">
        <v>3</v>
      </c>
      <c r="AG201">
        <v>0</v>
      </c>
      <c r="AH201" s="1">
        <v>44991</v>
      </c>
      <c r="AI201">
        <v>0</v>
      </c>
      <c r="AJ201">
        <v>10</v>
      </c>
      <c r="AK201">
        <v>0</v>
      </c>
      <c r="AL201">
        <v>30.5</v>
      </c>
      <c r="AM201" t="s">
        <v>500</v>
      </c>
      <c r="AN201">
        <v>5.4</v>
      </c>
      <c r="AO201" t="s">
        <v>521</v>
      </c>
      <c r="AP201">
        <v>5</v>
      </c>
    </row>
    <row r="202" spans="1:42" x14ac:dyDescent="0.2">
      <c r="A202" t="s">
        <v>363</v>
      </c>
      <c r="B202">
        <v>10063</v>
      </c>
      <c r="C202">
        <v>1</v>
      </c>
      <c r="D202">
        <v>1</v>
      </c>
      <c r="E202">
        <v>1</v>
      </c>
      <c r="F202">
        <v>3</v>
      </c>
      <c r="G202">
        <v>5</v>
      </c>
      <c r="H202">
        <v>3</v>
      </c>
      <c r="I202">
        <v>0</v>
      </c>
      <c r="J202" s="2">
        <v>48495</v>
      </c>
      <c r="K202">
        <v>0</v>
      </c>
      <c r="L202">
        <v>19</v>
      </c>
      <c r="M202" t="s">
        <v>43</v>
      </c>
      <c r="N202" t="s">
        <v>44</v>
      </c>
      <c r="O202">
        <v>2136</v>
      </c>
      <c r="P202" s="1">
        <v>32971</v>
      </c>
      <c r="Q202" t="s">
        <v>45</v>
      </c>
      <c r="R202" t="s">
        <v>58</v>
      </c>
      <c r="S202" t="s">
        <v>47</v>
      </c>
      <c r="T202" t="s">
        <v>48</v>
      </c>
      <c r="U202" t="s">
        <v>49</v>
      </c>
      <c r="V202" s="1">
        <v>44693</v>
      </c>
      <c r="W202" s="1" t="s">
        <v>492</v>
      </c>
      <c r="X202" t="s">
        <v>50</v>
      </c>
      <c r="Y202" t="s">
        <v>51</v>
      </c>
      <c r="Z202" t="s">
        <v>52</v>
      </c>
      <c r="AA202" t="s">
        <v>85</v>
      </c>
      <c r="AB202">
        <v>19</v>
      </c>
      <c r="AC202" t="s">
        <v>54</v>
      </c>
      <c r="AD202" t="s">
        <v>64</v>
      </c>
      <c r="AE202">
        <v>5</v>
      </c>
      <c r="AF202">
        <v>5</v>
      </c>
      <c r="AG202">
        <v>0</v>
      </c>
      <c r="AH202" s="1">
        <v>46071</v>
      </c>
      <c r="AI202">
        <v>0</v>
      </c>
      <c r="AJ202">
        <v>11</v>
      </c>
      <c r="AK202">
        <v>1</v>
      </c>
      <c r="AL202">
        <v>36.4</v>
      </c>
      <c r="AM202" t="s">
        <v>501</v>
      </c>
      <c r="AN202">
        <v>4.3</v>
      </c>
      <c r="AO202" t="s">
        <v>508</v>
      </c>
      <c r="AP202">
        <v>4</v>
      </c>
    </row>
    <row r="203" spans="1:42" x14ac:dyDescent="0.2">
      <c r="A203" t="s">
        <v>364</v>
      </c>
      <c r="B203">
        <v>10037</v>
      </c>
      <c r="C203">
        <v>0</v>
      </c>
      <c r="D203">
        <v>3</v>
      </c>
      <c r="E203">
        <v>0</v>
      </c>
      <c r="F203">
        <v>1</v>
      </c>
      <c r="G203">
        <v>5</v>
      </c>
      <c r="H203">
        <v>4</v>
      </c>
      <c r="I203">
        <v>1</v>
      </c>
      <c r="J203" s="2">
        <v>52984</v>
      </c>
      <c r="K203">
        <v>0</v>
      </c>
      <c r="L203">
        <v>19</v>
      </c>
      <c r="M203" t="s">
        <v>43</v>
      </c>
      <c r="N203" t="s">
        <v>44</v>
      </c>
      <c r="O203">
        <v>1810</v>
      </c>
      <c r="P203" s="1">
        <v>29375</v>
      </c>
      <c r="Q203" t="s">
        <v>67</v>
      </c>
      <c r="R203" t="s">
        <v>143</v>
      </c>
      <c r="S203" t="s">
        <v>47</v>
      </c>
      <c r="T203" t="s">
        <v>48</v>
      </c>
      <c r="U203" t="s">
        <v>88</v>
      </c>
      <c r="V203" s="1">
        <v>44287</v>
      </c>
      <c r="W203" s="1" t="s">
        <v>492</v>
      </c>
      <c r="X203" t="s">
        <v>50</v>
      </c>
      <c r="Y203" t="s">
        <v>51</v>
      </c>
      <c r="Z203" t="s">
        <v>52</v>
      </c>
      <c r="AA203" t="s">
        <v>89</v>
      </c>
      <c r="AB203">
        <v>12</v>
      </c>
      <c r="AC203" t="s">
        <v>90</v>
      </c>
      <c r="AD203" t="s">
        <v>55</v>
      </c>
      <c r="AE203">
        <v>4</v>
      </c>
      <c r="AF203">
        <v>3</v>
      </c>
      <c r="AG203">
        <v>0</v>
      </c>
      <c r="AH203" s="1">
        <v>46066</v>
      </c>
      <c r="AI203">
        <v>0</v>
      </c>
      <c r="AJ203">
        <v>12</v>
      </c>
      <c r="AK203">
        <v>1</v>
      </c>
      <c r="AL203">
        <v>46.2</v>
      </c>
      <c r="AM203" t="s">
        <v>502</v>
      </c>
      <c r="AN203">
        <v>5.4</v>
      </c>
      <c r="AO203" t="s">
        <v>521</v>
      </c>
      <c r="AP203">
        <v>5</v>
      </c>
    </row>
    <row r="204" spans="1:42" x14ac:dyDescent="0.2">
      <c r="A204" t="s">
        <v>365</v>
      </c>
      <c r="B204">
        <v>10042</v>
      </c>
      <c r="C204">
        <v>0</v>
      </c>
      <c r="D204">
        <v>0</v>
      </c>
      <c r="E204">
        <v>0</v>
      </c>
      <c r="F204">
        <v>1</v>
      </c>
      <c r="G204">
        <v>6</v>
      </c>
      <c r="H204">
        <v>3</v>
      </c>
      <c r="I204">
        <v>0</v>
      </c>
      <c r="J204" s="2">
        <v>63695</v>
      </c>
      <c r="K204">
        <v>0</v>
      </c>
      <c r="L204">
        <v>3</v>
      </c>
      <c r="M204" t="s">
        <v>145</v>
      </c>
      <c r="N204" t="s">
        <v>366</v>
      </c>
      <c r="O204">
        <v>30428</v>
      </c>
      <c r="P204" s="1">
        <v>37346</v>
      </c>
      <c r="Q204" t="s">
        <v>67</v>
      </c>
      <c r="R204" t="s">
        <v>46</v>
      </c>
      <c r="S204" t="s">
        <v>47</v>
      </c>
      <c r="T204" t="s">
        <v>48</v>
      </c>
      <c r="U204" t="s">
        <v>104</v>
      </c>
      <c r="V204" s="1">
        <v>44385</v>
      </c>
      <c r="W204" s="1" t="s">
        <v>492</v>
      </c>
      <c r="X204" t="s">
        <v>50</v>
      </c>
      <c r="Y204" t="s">
        <v>51</v>
      </c>
      <c r="Z204" t="s">
        <v>5</v>
      </c>
      <c r="AA204" t="s">
        <v>165</v>
      </c>
      <c r="AB204">
        <v>21</v>
      </c>
      <c r="AC204" t="s">
        <v>63</v>
      </c>
      <c r="AD204" t="s">
        <v>64</v>
      </c>
      <c r="AE204">
        <v>5</v>
      </c>
      <c r="AF204">
        <v>5</v>
      </c>
      <c r="AG204">
        <v>0</v>
      </c>
      <c r="AH204" s="1">
        <v>46047</v>
      </c>
      <c r="AI204">
        <v>0</v>
      </c>
      <c r="AJ204">
        <v>2</v>
      </c>
      <c r="AK204">
        <v>1</v>
      </c>
      <c r="AL204">
        <v>24.5</v>
      </c>
      <c r="AM204" t="s">
        <v>499</v>
      </c>
      <c r="AN204">
        <v>5.0999999999999996</v>
      </c>
      <c r="AO204" t="s">
        <v>521</v>
      </c>
      <c r="AP204">
        <v>5</v>
      </c>
    </row>
    <row r="205" spans="1:42" x14ac:dyDescent="0.2">
      <c r="A205" t="s">
        <v>367</v>
      </c>
      <c r="B205">
        <v>10206</v>
      </c>
      <c r="C205">
        <v>0</v>
      </c>
      <c r="D205">
        <v>0</v>
      </c>
      <c r="E205">
        <v>0</v>
      </c>
      <c r="F205">
        <v>1</v>
      </c>
      <c r="G205">
        <v>5</v>
      </c>
      <c r="H205">
        <v>3</v>
      </c>
      <c r="I205">
        <v>0</v>
      </c>
      <c r="J205" s="2">
        <v>62061</v>
      </c>
      <c r="K205">
        <v>0</v>
      </c>
      <c r="L205">
        <v>19</v>
      </c>
      <c r="M205" t="s">
        <v>43</v>
      </c>
      <c r="N205" t="s">
        <v>44</v>
      </c>
      <c r="O205">
        <v>2132</v>
      </c>
      <c r="P205" s="1">
        <v>35618</v>
      </c>
      <c r="Q205" t="s">
        <v>67</v>
      </c>
      <c r="R205" t="s">
        <v>46</v>
      </c>
      <c r="S205" t="s">
        <v>47</v>
      </c>
      <c r="T205" t="s">
        <v>48</v>
      </c>
      <c r="U205" t="s">
        <v>49</v>
      </c>
      <c r="V205" s="1">
        <v>44385</v>
      </c>
      <c r="W205" s="1" t="s">
        <v>492</v>
      </c>
      <c r="X205" t="s">
        <v>50</v>
      </c>
      <c r="Y205" t="s">
        <v>51</v>
      </c>
      <c r="Z205" t="s">
        <v>52</v>
      </c>
      <c r="AA205" t="s">
        <v>97</v>
      </c>
      <c r="AB205">
        <v>14</v>
      </c>
      <c r="AC205" t="s">
        <v>54</v>
      </c>
      <c r="AD205" t="s">
        <v>64</v>
      </c>
      <c r="AE205">
        <v>3.6</v>
      </c>
      <c r="AF205">
        <v>5</v>
      </c>
      <c r="AG205">
        <v>0</v>
      </c>
      <c r="AH205" s="1">
        <v>46024</v>
      </c>
      <c r="AI205">
        <v>0</v>
      </c>
      <c r="AJ205">
        <v>4</v>
      </c>
      <c r="AK205">
        <v>1</v>
      </c>
      <c r="AL205">
        <v>29.1</v>
      </c>
      <c r="AM205" t="s">
        <v>500</v>
      </c>
      <c r="AN205">
        <v>5.0999999999999996</v>
      </c>
      <c r="AO205" t="s">
        <v>521</v>
      </c>
      <c r="AP205">
        <v>5</v>
      </c>
    </row>
    <row r="206" spans="1:42" x14ac:dyDescent="0.2">
      <c r="A206" t="s">
        <v>368</v>
      </c>
      <c r="B206">
        <v>10104</v>
      </c>
      <c r="C206">
        <v>0</v>
      </c>
      <c r="D206">
        <v>0</v>
      </c>
      <c r="E206">
        <v>0</v>
      </c>
      <c r="F206">
        <v>1</v>
      </c>
      <c r="G206">
        <v>5</v>
      </c>
      <c r="H206">
        <v>3</v>
      </c>
      <c r="I206">
        <v>0</v>
      </c>
      <c r="J206" s="2">
        <v>66738</v>
      </c>
      <c r="K206">
        <v>0</v>
      </c>
      <c r="L206">
        <v>20</v>
      </c>
      <c r="M206" t="s">
        <v>66</v>
      </c>
      <c r="N206" t="s">
        <v>44</v>
      </c>
      <c r="O206">
        <v>1040</v>
      </c>
      <c r="P206" s="1">
        <v>36122</v>
      </c>
      <c r="Q206" t="s">
        <v>67</v>
      </c>
      <c r="R206" t="s">
        <v>46</v>
      </c>
      <c r="S206" t="s">
        <v>47</v>
      </c>
      <c r="T206" t="s">
        <v>48</v>
      </c>
      <c r="U206" t="s">
        <v>49</v>
      </c>
      <c r="V206" s="1">
        <v>44875</v>
      </c>
      <c r="W206" s="1" t="s">
        <v>492</v>
      </c>
      <c r="X206" t="s">
        <v>50</v>
      </c>
      <c r="Y206" t="s">
        <v>51</v>
      </c>
      <c r="Z206" t="s">
        <v>52</v>
      </c>
      <c r="AA206" t="s">
        <v>71</v>
      </c>
      <c r="AB206">
        <v>16</v>
      </c>
      <c r="AC206" t="s">
        <v>63</v>
      </c>
      <c r="AD206" t="s">
        <v>64</v>
      </c>
      <c r="AE206">
        <v>4.53</v>
      </c>
      <c r="AF206">
        <v>5</v>
      </c>
      <c r="AG206">
        <v>0</v>
      </c>
      <c r="AH206" s="1">
        <v>46038</v>
      </c>
      <c r="AI206">
        <v>0</v>
      </c>
      <c r="AJ206">
        <v>5</v>
      </c>
      <c r="AK206">
        <v>1</v>
      </c>
      <c r="AL206">
        <v>27.8</v>
      </c>
      <c r="AM206" t="s">
        <v>500</v>
      </c>
      <c r="AN206">
        <v>3.8</v>
      </c>
      <c r="AO206" t="s">
        <v>508</v>
      </c>
      <c r="AP206">
        <v>4</v>
      </c>
    </row>
    <row r="207" spans="1:42" x14ac:dyDescent="0.2">
      <c r="A207" t="s">
        <v>369</v>
      </c>
      <c r="B207">
        <v>10303</v>
      </c>
      <c r="C207">
        <v>0</v>
      </c>
      <c r="D207">
        <v>0</v>
      </c>
      <c r="E207">
        <v>0</v>
      </c>
      <c r="F207">
        <v>4</v>
      </c>
      <c r="G207">
        <v>5</v>
      </c>
      <c r="H207">
        <v>1</v>
      </c>
      <c r="I207">
        <v>0</v>
      </c>
      <c r="J207" s="2">
        <v>52674</v>
      </c>
      <c r="K207">
        <v>1</v>
      </c>
      <c r="L207">
        <v>19</v>
      </c>
      <c r="M207" t="s">
        <v>43</v>
      </c>
      <c r="N207" t="s">
        <v>44</v>
      </c>
      <c r="O207">
        <v>2152</v>
      </c>
      <c r="P207" s="1">
        <v>34242</v>
      </c>
      <c r="Q207" t="s">
        <v>67</v>
      </c>
      <c r="R207" t="s">
        <v>46</v>
      </c>
      <c r="S207" t="s">
        <v>47</v>
      </c>
      <c r="T207" t="s">
        <v>48</v>
      </c>
      <c r="U207" t="s">
        <v>104</v>
      </c>
      <c r="V207" s="1">
        <v>44651</v>
      </c>
      <c r="W207" s="1">
        <v>46143</v>
      </c>
      <c r="X207" t="s">
        <v>116</v>
      </c>
      <c r="Y207" t="s">
        <v>110</v>
      </c>
      <c r="Z207" t="s">
        <v>52</v>
      </c>
      <c r="AA207" t="s">
        <v>69</v>
      </c>
      <c r="AB207">
        <v>20</v>
      </c>
      <c r="AC207" t="s">
        <v>54</v>
      </c>
      <c r="AD207" t="s">
        <v>196</v>
      </c>
      <c r="AE207">
        <v>2.33</v>
      </c>
      <c r="AF207">
        <v>2</v>
      </c>
      <c r="AG207">
        <v>0</v>
      </c>
      <c r="AH207" s="1">
        <v>45725</v>
      </c>
      <c r="AI207">
        <v>6</v>
      </c>
      <c r="AJ207">
        <v>3</v>
      </c>
      <c r="AK207">
        <v>0</v>
      </c>
      <c r="AL207">
        <v>32.799999999999997</v>
      </c>
      <c r="AM207" t="s">
        <v>500</v>
      </c>
      <c r="AN207">
        <v>4.5</v>
      </c>
      <c r="AO207" t="s">
        <v>508</v>
      </c>
      <c r="AP207">
        <v>4</v>
      </c>
    </row>
    <row r="208" spans="1:42" x14ac:dyDescent="0.2">
      <c r="A208" t="s">
        <v>370</v>
      </c>
      <c r="B208">
        <v>10078</v>
      </c>
      <c r="C208">
        <v>1</v>
      </c>
      <c r="D208">
        <v>1</v>
      </c>
      <c r="E208">
        <v>0</v>
      </c>
      <c r="F208">
        <v>5</v>
      </c>
      <c r="G208">
        <v>5</v>
      </c>
      <c r="H208">
        <v>3</v>
      </c>
      <c r="I208">
        <v>0</v>
      </c>
      <c r="J208" s="2">
        <v>71966</v>
      </c>
      <c r="K208">
        <v>1</v>
      </c>
      <c r="L208">
        <v>20</v>
      </c>
      <c r="M208" t="s">
        <v>66</v>
      </c>
      <c r="N208" t="s">
        <v>44</v>
      </c>
      <c r="O208">
        <v>2492</v>
      </c>
      <c r="P208" s="1">
        <v>23784</v>
      </c>
      <c r="Q208" t="s">
        <v>67</v>
      </c>
      <c r="R208" t="s">
        <v>58</v>
      </c>
      <c r="S208" t="s">
        <v>47</v>
      </c>
      <c r="T208" t="s">
        <v>48</v>
      </c>
      <c r="U208" t="s">
        <v>118</v>
      </c>
      <c r="V208" s="1">
        <v>43965</v>
      </c>
      <c r="W208" s="1">
        <v>44427</v>
      </c>
      <c r="X208" t="s">
        <v>99</v>
      </c>
      <c r="Y208" t="s">
        <v>60</v>
      </c>
      <c r="Z208" t="s">
        <v>52</v>
      </c>
      <c r="AA208" t="s">
        <v>75</v>
      </c>
      <c r="AB208">
        <v>39</v>
      </c>
      <c r="AC208" t="s">
        <v>54</v>
      </c>
      <c r="AD208" t="s">
        <v>64</v>
      </c>
      <c r="AE208">
        <v>5</v>
      </c>
      <c r="AF208">
        <v>3</v>
      </c>
      <c r="AG208">
        <v>0</v>
      </c>
      <c r="AH208" s="1">
        <v>44014</v>
      </c>
      <c r="AI208">
        <v>0</v>
      </c>
      <c r="AJ208">
        <v>17</v>
      </c>
      <c r="AK208">
        <v>0</v>
      </c>
      <c r="AL208">
        <v>61.6</v>
      </c>
      <c r="AM208" t="s">
        <v>518</v>
      </c>
      <c r="AN208">
        <v>6.3</v>
      </c>
      <c r="AO208" t="s">
        <v>521</v>
      </c>
      <c r="AP208">
        <v>5</v>
      </c>
    </row>
    <row r="209" spans="1:42" x14ac:dyDescent="0.2">
      <c r="A209" t="s">
        <v>371</v>
      </c>
      <c r="B209">
        <v>10121</v>
      </c>
      <c r="C209">
        <v>0</v>
      </c>
      <c r="D209">
        <v>0</v>
      </c>
      <c r="E209">
        <v>0</v>
      </c>
      <c r="F209">
        <v>1</v>
      </c>
      <c r="G209">
        <v>6</v>
      </c>
      <c r="H209">
        <v>3</v>
      </c>
      <c r="I209">
        <v>0</v>
      </c>
      <c r="J209" s="2">
        <v>63051</v>
      </c>
      <c r="K209">
        <v>0</v>
      </c>
      <c r="L209">
        <v>3</v>
      </c>
      <c r="M209" t="s">
        <v>145</v>
      </c>
      <c r="N209" t="s">
        <v>372</v>
      </c>
      <c r="O209">
        <v>33174</v>
      </c>
      <c r="P209" s="1">
        <v>37752</v>
      </c>
      <c r="Q209" t="s">
        <v>67</v>
      </c>
      <c r="R209" t="s">
        <v>46</v>
      </c>
      <c r="S209" t="s">
        <v>47</v>
      </c>
      <c r="T209" t="s">
        <v>95</v>
      </c>
      <c r="U209" t="s">
        <v>49</v>
      </c>
      <c r="V209" s="1">
        <v>44469</v>
      </c>
      <c r="W209" s="1" t="s">
        <v>492</v>
      </c>
      <c r="X209" t="s">
        <v>50</v>
      </c>
      <c r="Y209" t="s">
        <v>51</v>
      </c>
      <c r="Z209" t="s">
        <v>5</v>
      </c>
      <c r="AA209" t="s">
        <v>165</v>
      </c>
      <c r="AB209">
        <v>21</v>
      </c>
      <c r="AC209" t="s">
        <v>63</v>
      </c>
      <c r="AD209" t="s">
        <v>64</v>
      </c>
      <c r="AE209">
        <v>4.28</v>
      </c>
      <c r="AF209">
        <v>3</v>
      </c>
      <c r="AG209">
        <v>0</v>
      </c>
      <c r="AH209" s="1">
        <v>46047</v>
      </c>
      <c r="AI209">
        <v>0</v>
      </c>
      <c r="AJ209">
        <v>1</v>
      </c>
      <c r="AK209">
        <v>1</v>
      </c>
      <c r="AL209">
        <v>23.3</v>
      </c>
      <c r="AM209" t="s">
        <v>499</v>
      </c>
      <c r="AN209">
        <v>4.8</v>
      </c>
      <c r="AO209" t="s">
        <v>508</v>
      </c>
      <c r="AP209">
        <v>4</v>
      </c>
    </row>
    <row r="210" spans="1:42" x14ac:dyDescent="0.2">
      <c r="A210" t="s">
        <v>373</v>
      </c>
      <c r="B210">
        <v>10021</v>
      </c>
      <c r="C210">
        <v>1</v>
      </c>
      <c r="D210">
        <v>1</v>
      </c>
      <c r="E210">
        <v>1</v>
      </c>
      <c r="F210">
        <v>1</v>
      </c>
      <c r="G210">
        <v>5</v>
      </c>
      <c r="H210">
        <v>4</v>
      </c>
      <c r="I210">
        <v>0</v>
      </c>
      <c r="J210" s="2">
        <v>47414</v>
      </c>
      <c r="K210">
        <v>0</v>
      </c>
      <c r="L210">
        <v>19</v>
      </c>
      <c r="M210" t="s">
        <v>43</v>
      </c>
      <c r="N210" t="s">
        <v>44</v>
      </c>
      <c r="O210">
        <v>2478</v>
      </c>
      <c r="P210" s="1">
        <v>32853</v>
      </c>
      <c r="Q210" t="s">
        <v>45</v>
      </c>
      <c r="R210" t="s">
        <v>58</v>
      </c>
      <c r="S210" t="s">
        <v>47</v>
      </c>
      <c r="T210" t="s">
        <v>48</v>
      </c>
      <c r="U210" t="s">
        <v>49</v>
      </c>
      <c r="V210" s="1">
        <v>44469</v>
      </c>
      <c r="W210" s="1" t="s">
        <v>492</v>
      </c>
      <c r="X210" t="s">
        <v>50</v>
      </c>
      <c r="Y210" t="s">
        <v>51</v>
      </c>
      <c r="Z210" t="s">
        <v>52</v>
      </c>
      <c r="AA210" t="s">
        <v>105</v>
      </c>
      <c r="AB210">
        <v>18</v>
      </c>
      <c r="AC210" t="s">
        <v>54</v>
      </c>
      <c r="AD210" t="s">
        <v>55</v>
      </c>
      <c r="AE210">
        <v>5</v>
      </c>
      <c r="AF210">
        <v>3</v>
      </c>
      <c r="AG210">
        <v>0</v>
      </c>
      <c r="AH210" s="1">
        <v>46060</v>
      </c>
      <c r="AI210">
        <v>0</v>
      </c>
      <c r="AJ210">
        <v>13</v>
      </c>
      <c r="AK210">
        <v>1</v>
      </c>
      <c r="AL210">
        <v>36.799999999999997</v>
      </c>
      <c r="AM210" t="s">
        <v>501</v>
      </c>
      <c r="AN210">
        <v>4.8</v>
      </c>
      <c r="AO210" t="s">
        <v>508</v>
      </c>
      <c r="AP210">
        <v>4</v>
      </c>
    </row>
    <row r="211" spans="1:42" x14ac:dyDescent="0.2">
      <c r="A211" t="s">
        <v>374</v>
      </c>
      <c r="B211">
        <v>10281</v>
      </c>
      <c r="C211">
        <v>0</v>
      </c>
      <c r="D211">
        <v>0</v>
      </c>
      <c r="E211">
        <v>1</v>
      </c>
      <c r="F211">
        <v>1</v>
      </c>
      <c r="G211">
        <v>5</v>
      </c>
      <c r="H211">
        <v>2</v>
      </c>
      <c r="I211">
        <v>0</v>
      </c>
      <c r="J211" s="2">
        <v>53060</v>
      </c>
      <c r="K211">
        <v>0</v>
      </c>
      <c r="L211">
        <v>19</v>
      </c>
      <c r="M211" t="s">
        <v>43</v>
      </c>
      <c r="N211" t="s">
        <v>44</v>
      </c>
      <c r="O211">
        <v>1760</v>
      </c>
      <c r="P211" s="1">
        <v>33932</v>
      </c>
      <c r="Q211" t="s">
        <v>45</v>
      </c>
      <c r="R211" t="s">
        <v>46</v>
      </c>
      <c r="S211" t="s">
        <v>47</v>
      </c>
      <c r="T211" t="s">
        <v>48</v>
      </c>
      <c r="U211" t="s">
        <v>88</v>
      </c>
      <c r="V211" s="1">
        <v>44609</v>
      </c>
      <c r="W211" s="1" t="s">
        <v>492</v>
      </c>
      <c r="X211" t="s">
        <v>50</v>
      </c>
      <c r="Y211" t="s">
        <v>51</v>
      </c>
      <c r="Z211" t="s">
        <v>52</v>
      </c>
      <c r="AA211" t="s">
        <v>53</v>
      </c>
      <c r="AB211">
        <v>22</v>
      </c>
      <c r="AC211" t="s">
        <v>54</v>
      </c>
      <c r="AD211" t="s">
        <v>124</v>
      </c>
      <c r="AE211">
        <v>4.25</v>
      </c>
      <c r="AF211">
        <v>3</v>
      </c>
      <c r="AG211">
        <v>0</v>
      </c>
      <c r="AH211" s="1">
        <v>46057</v>
      </c>
      <c r="AI211">
        <v>4</v>
      </c>
      <c r="AJ211">
        <v>6</v>
      </c>
      <c r="AK211">
        <v>1</v>
      </c>
      <c r="AL211">
        <v>33.799999999999997</v>
      </c>
      <c r="AM211" t="s">
        <v>500</v>
      </c>
      <c r="AN211">
        <v>4.5999999999999996</v>
      </c>
      <c r="AO211" t="s">
        <v>508</v>
      </c>
      <c r="AP211">
        <v>4</v>
      </c>
    </row>
    <row r="212" spans="1:42" x14ac:dyDescent="0.2">
      <c r="A212" t="s">
        <v>375</v>
      </c>
      <c r="B212">
        <v>10041</v>
      </c>
      <c r="C212">
        <v>0</v>
      </c>
      <c r="D212">
        <v>0</v>
      </c>
      <c r="E212">
        <v>1</v>
      </c>
      <c r="F212">
        <v>1</v>
      </c>
      <c r="G212">
        <v>6</v>
      </c>
      <c r="H212">
        <v>3</v>
      </c>
      <c r="I212">
        <v>0</v>
      </c>
      <c r="J212" s="2">
        <v>68829</v>
      </c>
      <c r="K212">
        <v>0</v>
      </c>
      <c r="L212">
        <v>3</v>
      </c>
      <c r="M212" t="s">
        <v>145</v>
      </c>
      <c r="N212" t="s">
        <v>376</v>
      </c>
      <c r="O212">
        <v>27229</v>
      </c>
      <c r="P212" s="1">
        <v>34838</v>
      </c>
      <c r="Q212" t="s">
        <v>45</v>
      </c>
      <c r="R212" t="s">
        <v>46</v>
      </c>
      <c r="S212" t="s">
        <v>47</v>
      </c>
      <c r="T212" t="s">
        <v>48</v>
      </c>
      <c r="U212" t="s">
        <v>49</v>
      </c>
      <c r="V212" s="1">
        <v>44931</v>
      </c>
      <c r="W212" s="1" t="s">
        <v>492</v>
      </c>
      <c r="X212" t="s">
        <v>50</v>
      </c>
      <c r="Y212" t="s">
        <v>51</v>
      </c>
      <c r="Z212" t="s">
        <v>5</v>
      </c>
      <c r="AA212" t="s">
        <v>147</v>
      </c>
      <c r="AB212">
        <v>17</v>
      </c>
      <c r="AC212" t="s">
        <v>206</v>
      </c>
      <c r="AD212" t="s">
        <v>64</v>
      </c>
      <c r="AE212">
        <v>5</v>
      </c>
      <c r="AF212">
        <v>5</v>
      </c>
      <c r="AG212">
        <v>0</v>
      </c>
      <c r="AH212" s="1">
        <v>46036</v>
      </c>
      <c r="AI212">
        <v>0</v>
      </c>
      <c r="AJ212">
        <v>18</v>
      </c>
      <c r="AK212">
        <v>1</v>
      </c>
      <c r="AL212">
        <v>31.3</v>
      </c>
      <c r="AM212" t="s">
        <v>500</v>
      </c>
      <c r="AN212">
        <v>3.7</v>
      </c>
      <c r="AO212" t="s">
        <v>508</v>
      </c>
      <c r="AP212">
        <v>4</v>
      </c>
    </row>
    <row r="213" spans="1:42" x14ac:dyDescent="0.2">
      <c r="A213" t="s">
        <v>377</v>
      </c>
      <c r="B213">
        <v>10148</v>
      </c>
      <c r="C213">
        <v>1</v>
      </c>
      <c r="D213">
        <v>1</v>
      </c>
      <c r="E213">
        <v>0</v>
      </c>
      <c r="F213">
        <v>5</v>
      </c>
      <c r="G213">
        <v>5</v>
      </c>
      <c r="H213">
        <v>3</v>
      </c>
      <c r="I213">
        <v>0</v>
      </c>
      <c r="J213" s="2">
        <v>63515</v>
      </c>
      <c r="K213">
        <v>1</v>
      </c>
      <c r="L213">
        <v>19</v>
      </c>
      <c r="M213" t="s">
        <v>43</v>
      </c>
      <c r="N213" t="s">
        <v>44</v>
      </c>
      <c r="O213">
        <v>2351</v>
      </c>
      <c r="P213" s="1">
        <v>33725</v>
      </c>
      <c r="Q213" t="s">
        <v>67</v>
      </c>
      <c r="R213" t="s">
        <v>58</v>
      </c>
      <c r="S213" t="s">
        <v>47</v>
      </c>
      <c r="T213" t="s">
        <v>48</v>
      </c>
      <c r="U213" t="s">
        <v>49</v>
      </c>
      <c r="V213" s="1">
        <v>43503</v>
      </c>
      <c r="W213" s="1">
        <v>44573</v>
      </c>
      <c r="X213" t="s">
        <v>96</v>
      </c>
      <c r="Y213" t="s">
        <v>60</v>
      </c>
      <c r="Z213" t="s">
        <v>52</v>
      </c>
      <c r="AA213" t="s">
        <v>71</v>
      </c>
      <c r="AB213">
        <v>16</v>
      </c>
      <c r="AC213" t="s">
        <v>76</v>
      </c>
      <c r="AD213" t="s">
        <v>64</v>
      </c>
      <c r="AE213">
        <v>3.89</v>
      </c>
      <c r="AF213">
        <v>4</v>
      </c>
      <c r="AG213">
        <v>0</v>
      </c>
      <c r="AH213" s="1">
        <v>43894</v>
      </c>
      <c r="AI213">
        <v>0</v>
      </c>
      <c r="AJ213">
        <v>7</v>
      </c>
      <c r="AK213">
        <v>0</v>
      </c>
      <c r="AL213">
        <v>34.299999999999997</v>
      </c>
      <c r="AM213" t="s">
        <v>500</v>
      </c>
      <c r="AN213">
        <v>7.6</v>
      </c>
      <c r="AO213" t="s">
        <v>521</v>
      </c>
      <c r="AP213">
        <v>5</v>
      </c>
    </row>
    <row r="214" spans="1:42" x14ac:dyDescent="0.2">
      <c r="A214" t="s">
        <v>378</v>
      </c>
      <c r="B214">
        <v>10005</v>
      </c>
      <c r="C214">
        <v>0</v>
      </c>
      <c r="D214">
        <v>0</v>
      </c>
      <c r="E214">
        <v>1</v>
      </c>
      <c r="F214">
        <v>5</v>
      </c>
      <c r="G214">
        <v>4</v>
      </c>
      <c r="H214">
        <v>4</v>
      </c>
      <c r="I214">
        <v>1</v>
      </c>
      <c r="J214" s="2">
        <v>108987</v>
      </c>
      <c r="K214">
        <v>1</v>
      </c>
      <c r="L214">
        <v>24</v>
      </c>
      <c r="M214" t="s">
        <v>80</v>
      </c>
      <c r="N214" t="s">
        <v>44</v>
      </c>
      <c r="O214">
        <v>1844</v>
      </c>
      <c r="P214" s="1">
        <v>33654</v>
      </c>
      <c r="Q214" t="s">
        <v>45</v>
      </c>
      <c r="R214" t="s">
        <v>46</v>
      </c>
      <c r="S214" t="s">
        <v>47</v>
      </c>
      <c r="T214" t="s">
        <v>48</v>
      </c>
      <c r="U214" t="s">
        <v>88</v>
      </c>
      <c r="V214" s="1">
        <v>43776</v>
      </c>
      <c r="W214" s="1">
        <v>45176</v>
      </c>
      <c r="X214" t="s">
        <v>96</v>
      </c>
      <c r="Y214" t="s">
        <v>60</v>
      </c>
      <c r="Z214" t="s">
        <v>81</v>
      </c>
      <c r="AA214" t="s">
        <v>82</v>
      </c>
      <c r="AB214">
        <v>10</v>
      </c>
      <c r="AC214" t="s">
        <v>90</v>
      </c>
      <c r="AD214" t="s">
        <v>55</v>
      </c>
      <c r="AE214">
        <v>5</v>
      </c>
      <c r="AF214">
        <v>5</v>
      </c>
      <c r="AG214">
        <v>3</v>
      </c>
      <c r="AH214" s="1">
        <v>44789</v>
      </c>
      <c r="AI214">
        <v>0</v>
      </c>
      <c r="AJ214">
        <v>13</v>
      </c>
      <c r="AK214">
        <v>0</v>
      </c>
      <c r="AL214">
        <v>34.6</v>
      </c>
      <c r="AM214" t="s">
        <v>500</v>
      </c>
      <c r="AN214">
        <v>6.8</v>
      </c>
      <c r="AO214" t="s">
        <v>521</v>
      </c>
      <c r="AP214">
        <v>5</v>
      </c>
    </row>
    <row r="215" spans="1:42" x14ac:dyDescent="0.2">
      <c r="A215" t="s">
        <v>379</v>
      </c>
      <c r="B215">
        <v>10259</v>
      </c>
      <c r="C215">
        <v>1</v>
      </c>
      <c r="D215">
        <v>1</v>
      </c>
      <c r="E215">
        <v>1</v>
      </c>
      <c r="F215">
        <v>5</v>
      </c>
      <c r="G215">
        <v>3</v>
      </c>
      <c r="H215">
        <v>3</v>
      </c>
      <c r="I215">
        <v>0</v>
      </c>
      <c r="J215" s="2">
        <v>93093</v>
      </c>
      <c r="K215">
        <v>1</v>
      </c>
      <c r="L215">
        <v>9</v>
      </c>
      <c r="M215" t="s">
        <v>101</v>
      </c>
      <c r="N215" t="s">
        <v>44</v>
      </c>
      <c r="O215">
        <v>2747</v>
      </c>
      <c r="P215" s="1">
        <v>35678</v>
      </c>
      <c r="Q215" t="s">
        <v>45</v>
      </c>
      <c r="R215" t="s">
        <v>58</v>
      </c>
      <c r="S215" t="s">
        <v>47</v>
      </c>
      <c r="T215" t="s">
        <v>48</v>
      </c>
      <c r="U215" t="s">
        <v>49</v>
      </c>
      <c r="V215" s="1">
        <v>44896</v>
      </c>
      <c r="W215" s="1">
        <v>45413</v>
      </c>
      <c r="X215" t="s">
        <v>116</v>
      </c>
      <c r="Y215" t="s">
        <v>60</v>
      </c>
      <c r="Z215" t="s">
        <v>61</v>
      </c>
      <c r="AA215" t="s">
        <v>62</v>
      </c>
      <c r="AB215">
        <v>4</v>
      </c>
      <c r="AC215" t="s">
        <v>86</v>
      </c>
      <c r="AD215" t="s">
        <v>64</v>
      </c>
      <c r="AE215">
        <v>4.7</v>
      </c>
      <c r="AF215">
        <v>4</v>
      </c>
      <c r="AG215">
        <v>5</v>
      </c>
      <c r="AH215" s="1">
        <v>44942</v>
      </c>
      <c r="AI215">
        <v>0</v>
      </c>
      <c r="AJ215">
        <v>19</v>
      </c>
      <c r="AK215">
        <v>0</v>
      </c>
      <c r="AL215">
        <v>28.8</v>
      </c>
      <c r="AM215" t="s">
        <v>500</v>
      </c>
      <c r="AN215">
        <v>3.8</v>
      </c>
      <c r="AO215" t="s">
        <v>508</v>
      </c>
      <c r="AP215">
        <v>4</v>
      </c>
    </row>
    <row r="216" spans="1:42" x14ac:dyDescent="0.2">
      <c r="A216" t="s">
        <v>380</v>
      </c>
      <c r="B216">
        <v>10286</v>
      </c>
      <c r="C216">
        <v>0</v>
      </c>
      <c r="D216">
        <v>0</v>
      </c>
      <c r="E216">
        <v>1</v>
      </c>
      <c r="F216">
        <v>5</v>
      </c>
      <c r="G216">
        <v>5</v>
      </c>
      <c r="H216">
        <v>2</v>
      </c>
      <c r="I216">
        <v>0</v>
      </c>
      <c r="J216" s="2">
        <v>53564</v>
      </c>
      <c r="K216">
        <v>1</v>
      </c>
      <c r="L216">
        <v>19</v>
      </c>
      <c r="M216" t="s">
        <v>43</v>
      </c>
      <c r="N216" t="s">
        <v>44</v>
      </c>
      <c r="O216">
        <v>2458</v>
      </c>
      <c r="P216" s="1">
        <v>36967</v>
      </c>
      <c r="Q216" t="s">
        <v>45</v>
      </c>
      <c r="R216" t="s">
        <v>46</v>
      </c>
      <c r="S216" t="s">
        <v>47</v>
      </c>
      <c r="T216" t="s">
        <v>48</v>
      </c>
      <c r="U216" t="s">
        <v>88</v>
      </c>
      <c r="V216" s="1">
        <v>43475</v>
      </c>
      <c r="W216" s="1">
        <v>46019</v>
      </c>
      <c r="X216" t="s">
        <v>59</v>
      </c>
      <c r="Y216" t="s">
        <v>60</v>
      </c>
      <c r="Z216" t="s">
        <v>52</v>
      </c>
      <c r="AA216" t="s">
        <v>75</v>
      </c>
      <c r="AB216">
        <v>39</v>
      </c>
      <c r="AC216" t="s">
        <v>76</v>
      </c>
      <c r="AD216" t="s">
        <v>124</v>
      </c>
      <c r="AE216">
        <v>3.54</v>
      </c>
      <c r="AF216">
        <v>5</v>
      </c>
      <c r="AG216">
        <v>0</v>
      </c>
      <c r="AH216" s="1">
        <v>45388</v>
      </c>
      <c r="AI216">
        <v>4</v>
      </c>
      <c r="AJ216">
        <v>15</v>
      </c>
      <c r="AK216">
        <v>0</v>
      </c>
      <c r="AL216">
        <v>25.5</v>
      </c>
      <c r="AM216" t="s">
        <v>500</v>
      </c>
      <c r="AN216">
        <v>7.7</v>
      </c>
      <c r="AO216" t="s">
        <v>521</v>
      </c>
      <c r="AP216">
        <v>5</v>
      </c>
    </row>
    <row r="217" spans="1:42" x14ac:dyDescent="0.2">
      <c r="A217" t="s">
        <v>381</v>
      </c>
      <c r="B217">
        <v>10297</v>
      </c>
      <c r="C217">
        <v>1</v>
      </c>
      <c r="D217">
        <v>1</v>
      </c>
      <c r="E217">
        <v>0</v>
      </c>
      <c r="F217">
        <v>5</v>
      </c>
      <c r="G217">
        <v>5</v>
      </c>
      <c r="H217">
        <v>2</v>
      </c>
      <c r="I217">
        <v>0</v>
      </c>
      <c r="J217" s="2">
        <v>60270</v>
      </c>
      <c r="K217">
        <v>1</v>
      </c>
      <c r="L217">
        <v>20</v>
      </c>
      <c r="M217" t="s">
        <v>66</v>
      </c>
      <c r="N217" t="s">
        <v>44</v>
      </c>
      <c r="O217">
        <v>2472</v>
      </c>
      <c r="P217" s="1">
        <v>37455</v>
      </c>
      <c r="Q217" t="s">
        <v>67</v>
      </c>
      <c r="R217" t="s">
        <v>58</v>
      </c>
      <c r="S217" t="s">
        <v>47</v>
      </c>
      <c r="T217" t="s">
        <v>48</v>
      </c>
      <c r="U217" t="s">
        <v>118</v>
      </c>
      <c r="V217" s="1">
        <v>43651</v>
      </c>
      <c r="W217" s="1">
        <v>45184</v>
      </c>
      <c r="X217" t="s">
        <v>99</v>
      </c>
      <c r="Y217" t="s">
        <v>60</v>
      </c>
      <c r="Z217" t="s">
        <v>52</v>
      </c>
      <c r="AA217" t="s">
        <v>78</v>
      </c>
      <c r="AB217">
        <v>11</v>
      </c>
      <c r="AC217" t="s">
        <v>123</v>
      </c>
      <c r="AD217" t="s">
        <v>124</v>
      </c>
      <c r="AE217">
        <v>2.4</v>
      </c>
      <c r="AF217">
        <v>5</v>
      </c>
      <c r="AG217">
        <v>0</v>
      </c>
      <c r="AH217" s="1">
        <v>44598</v>
      </c>
      <c r="AI217">
        <v>5</v>
      </c>
      <c r="AJ217">
        <v>2</v>
      </c>
      <c r="AK217">
        <v>0</v>
      </c>
      <c r="AL217">
        <v>24.1</v>
      </c>
      <c r="AM217" t="s">
        <v>499</v>
      </c>
      <c r="AN217">
        <v>7.1</v>
      </c>
      <c r="AO217" t="s">
        <v>521</v>
      </c>
      <c r="AP217">
        <v>5</v>
      </c>
    </row>
    <row r="218" spans="1:42" x14ac:dyDescent="0.2">
      <c r="A218" t="s">
        <v>382</v>
      </c>
      <c r="B218">
        <v>10171</v>
      </c>
      <c r="C218">
        <v>0</v>
      </c>
      <c r="D218">
        <v>0</v>
      </c>
      <c r="E218">
        <v>0</v>
      </c>
      <c r="F218">
        <v>5</v>
      </c>
      <c r="G218">
        <v>5</v>
      </c>
      <c r="H218">
        <v>3</v>
      </c>
      <c r="I218">
        <v>0</v>
      </c>
      <c r="J218" s="2">
        <v>45998</v>
      </c>
      <c r="K218">
        <v>1</v>
      </c>
      <c r="L218">
        <v>19</v>
      </c>
      <c r="M218" t="s">
        <v>43</v>
      </c>
      <c r="N218" t="s">
        <v>44</v>
      </c>
      <c r="O218">
        <v>2176</v>
      </c>
      <c r="P218" s="1">
        <v>36361</v>
      </c>
      <c r="Q218" t="s">
        <v>67</v>
      </c>
      <c r="R218" t="s">
        <v>46</v>
      </c>
      <c r="S218" t="s">
        <v>47</v>
      </c>
      <c r="T218" t="s">
        <v>48</v>
      </c>
      <c r="U218" t="s">
        <v>49</v>
      </c>
      <c r="V218" s="1">
        <v>43601</v>
      </c>
      <c r="W218" s="1">
        <v>45224</v>
      </c>
      <c r="X218" t="s">
        <v>383</v>
      </c>
      <c r="Y218" t="s">
        <v>60</v>
      </c>
      <c r="Z218" t="s">
        <v>52</v>
      </c>
      <c r="AA218" t="s">
        <v>78</v>
      </c>
      <c r="AB218">
        <v>11</v>
      </c>
      <c r="AC218" t="s">
        <v>54</v>
      </c>
      <c r="AD218" t="s">
        <v>64</v>
      </c>
      <c r="AE218">
        <v>3.45</v>
      </c>
      <c r="AF218">
        <v>4</v>
      </c>
      <c r="AG218">
        <v>0</v>
      </c>
      <c r="AH218" s="1">
        <v>44329</v>
      </c>
      <c r="AI218">
        <v>0</v>
      </c>
      <c r="AJ218">
        <v>5</v>
      </c>
      <c r="AK218">
        <v>0</v>
      </c>
      <c r="AL218">
        <v>27.1</v>
      </c>
      <c r="AM218" t="s">
        <v>500</v>
      </c>
      <c r="AN218">
        <v>7.3</v>
      </c>
      <c r="AO218" t="s">
        <v>521</v>
      </c>
      <c r="AP218">
        <v>5</v>
      </c>
    </row>
    <row r="219" spans="1:42" x14ac:dyDescent="0.2">
      <c r="A219" t="s">
        <v>384</v>
      </c>
      <c r="B219">
        <v>10032</v>
      </c>
      <c r="C219">
        <v>1</v>
      </c>
      <c r="D219">
        <v>1</v>
      </c>
      <c r="E219">
        <v>0</v>
      </c>
      <c r="F219">
        <v>5</v>
      </c>
      <c r="G219">
        <v>5</v>
      </c>
      <c r="H219">
        <v>4</v>
      </c>
      <c r="I219">
        <v>0</v>
      </c>
      <c r="J219" s="2">
        <v>57954</v>
      </c>
      <c r="K219">
        <v>1</v>
      </c>
      <c r="L219">
        <v>20</v>
      </c>
      <c r="M219" t="s">
        <v>66</v>
      </c>
      <c r="N219" t="s">
        <v>44</v>
      </c>
      <c r="O219">
        <v>1886</v>
      </c>
      <c r="P219" s="1">
        <v>36389</v>
      </c>
      <c r="Q219" t="s">
        <v>67</v>
      </c>
      <c r="R219" t="s">
        <v>58</v>
      </c>
      <c r="S219" t="s">
        <v>47</v>
      </c>
      <c r="T219" t="s">
        <v>48</v>
      </c>
      <c r="U219" t="s">
        <v>49</v>
      </c>
      <c r="V219" s="1">
        <v>43601</v>
      </c>
      <c r="W219" s="1">
        <v>44231</v>
      </c>
      <c r="X219" t="s">
        <v>198</v>
      </c>
      <c r="Y219" t="s">
        <v>60</v>
      </c>
      <c r="Z219" t="s">
        <v>52</v>
      </c>
      <c r="AA219" t="s">
        <v>85</v>
      </c>
      <c r="AB219">
        <v>19</v>
      </c>
      <c r="AC219" t="s">
        <v>63</v>
      </c>
      <c r="AD219" t="s">
        <v>55</v>
      </c>
      <c r="AE219">
        <v>4.2</v>
      </c>
      <c r="AF219">
        <v>5</v>
      </c>
      <c r="AG219">
        <v>0</v>
      </c>
      <c r="AH219" s="1">
        <v>43840</v>
      </c>
      <c r="AI219">
        <v>0</v>
      </c>
      <c r="AJ219">
        <v>12</v>
      </c>
      <c r="AK219">
        <v>0</v>
      </c>
      <c r="AL219">
        <v>27</v>
      </c>
      <c r="AM219" t="s">
        <v>500</v>
      </c>
      <c r="AN219">
        <v>7.3</v>
      </c>
      <c r="AO219" t="s">
        <v>521</v>
      </c>
      <c r="AP219">
        <v>5</v>
      </c>
    </row>
    <row r="220" spans="1:42" x14ac:dyDescent="0.2">
      <c r="A220" t="s">
        <v>385</v>
      </c>
      <c r="B220">
        <v>10130</v>
      </c>
      <c r="C220">
        <v>1</v>
      </c>
      <c r="D220">
        <v>1</v>
      </c>
      <c r="E220">
        <v>0</v>
      </c>
      <c r="F220">
        <v>5</v>
      </c>
      <c r="G220">
        <v>5</v>
      </c>
      <c r="H220">
        <v>3</v>
      </c>
      <c r="I220">
        <v>0</v>
      </c>
      <c r="J220" s="2">
        <v>74669</v>
      </c>
      <c r="K220">
        <v>1</v>
      </c>
      <c r="L220">
        <v>18</v>
      </c>
      <c r="M220" t="s">
        <v>135</v>
      </c>
      <c r="N220" t="s">
        <v>44</v>
      </c>
      <c r="O220">
        <v>2030</v>
      </c>
      <c r="P220" s="1">
        <v>33002</v>
      </c>
      <c r="Q220" t="s">
        <v>67</v>
      </c>
      <c r="R220" t="s">
        <v>58</v>
      </c>
      <c r="S220" t="s">
        <v>47</v>
      </c>
      <c r="T220" t="s">
        <v>48</v>
      </c>
      <c r="U220" t="s">
        <v>49</v>
      </c>
      <c r="V220" s="1">
        <v>43398</v>
      </c>
      <c r="W220" s="1">
        <v>45430</v>
      </c>
      <c r="X220" t="s">
        <v>96</v>
      </c>
      <c r="Y220" t="s">
        <v>60</v>
      </c>
      <c r="Z220" t="s">
        <v>52</v>
      </c>
      <c r="AA220" t="s">
        <v>137</v>
      </c>
      <c r="AB220">
        <v>2</v>
      </c>
      <c r="AC220" t="s">
        <v>63</v>
      </c>
      <c r="AD220" t="s">
        <v>64</v>
      </c>
      <c r="AE220">
        <v>4.16</v>
      </c>
      <c r="AF220">
        <v>5</v>
      </c>
      <c r="AG220">
        <v>0</v>
      </c>
      <c r="AH220" s="1">
        <v>44625</v>
      </c>
      <c r="AI220">
        <v>0</v>
      </c>
      <c r="AJ220">
        <v>6</v>
      </c>
      <c r="AK220">
        <v>0</v>
      </c>
      <c r="AL220">
        <v>36.299999999999997</v>
      </c>
      <c r="AM220" t="s">
        <v>501</v>
      </c>
      <c r="AN220">
        <v>7.8</v>
      </c>
      <c r="AO220" t="s">
        <v>521</v>
      </c>
      <c r="AP220">
        <v>5</v>
      </c>
    </row>
    <row r="221" spans="1:42" x14ac:dyDescent="0.2">
      <c r="A221" t="s">
        <v>386</v>
      </c>
      <c r="B221">
        <v>10217</v>
      </c>
      <c r="C221">
        <v>1</v>
      </c>
      <c r="D221">
        <v>1</v>
      </c>
      <c r="E221">
        <v>0</v>
      </c>
      <c r="F221">
        <v>1</v>
      </c>
      <c r="G221">
        <v>5</v>
      </c>
      <c r="H221">
        <v>3</v>
      </c>
      <c r="I221">
        <v>0</v>
      </c>
      <c r="J221" s="2">
        <v>74226</v>
      </c>
      <c r="K221">
        <v>0</v>
      </c>
      <c r="L221">
        <v>20</v>
      </c>
      <c r="M221" t="s">
        <v>66</v>
      </c>
      <c r="N221" t="s">
        <v>44</v>
      </c>
      <c r="O221">
        <v>2050</v>
      </c>
      <c r="P221" s="1">
        <v>33673</v>
      </c>
      <c r="Q221" t="s">
        <v>67</v>
      </c>
      <c r="R221" t="s">
        <v>58</v>
      </c>
      <c r="S221" t="s">
        <v>113</v>
      </c>
      <c r="T221" t="s">
        <v>48</v>
      </c>
      <c r="U221" t="s">
        <v>118</v>
      </c>
      <c r="V221" s="1">
        <v>43923</v>
      </c>
      <c r="W221" s="1" t="s">
        <v>492</v>
      </c>
      <c r="X221" t="s">
        <v>50</v>
      </c>
      <c r="Y221" t="s">
        <v>51</v>
      </c>
      <c r="Z221" t="s">
        <v>52</v>
      </c>
      <c r="AA221" t="s">
        <v>89</v>
      </c>
      <c r="AB221">
        <v>12</v>
      </c>
      <c r="AC221" t="s">
        <v>54</v>
      </c>
      <c r="AD221" t="s">
        <v>64</v>
      </c>
      <c r="AE221">
        <v>4.3</v>
      </c>
      <c r="AF221">
        <v>3</v>
      </c>
      <c r="AG221">
        <v>0</v>
      </c>
      <c r="AH221" s="1">
        <v>46036</v>
      </c>
      <c r="AI221">
        <v>0</v>
      </c>
      <c r="AJ221">
        <v>14</v>
      </c>
      <c r="AK221">
        <v>1</v>
      </c>
      <c r="AL221">
        <v>34.5</v>
      </c>
      <c r="AM221" t="s">
        <v>500</v>
      </c>
      <c r="AN221">
        <v>6.4</v>
      </c>
      <c r="AO221" t="s">
        <v>521</v>
      </c>
      <c r="AP221">
        <v>5</v>
      </c>
    </row>
    <row r="222" spans="1:42" x14ac:dyDescent="0.2">
      <c r="A222" t="s">
        <v>387</v>
      </c>
      <c r="B222">
        <v>10016</v>
      </c>
      <c r="C222">
        <v>1</v>
      </c>
      <c r="D222">
        <v>1</v>
      </c>
      <c r="E222">
        <v>0</v>
      </c>
      <c r="F222">
        <v>1</v>
      </c>
      <c r="G222">
        <v>3</v>
      </c>
      <c r="H222">
        <v>4</v>
      </c>
      <c r="I222">
        <v>0</v>
      </c>
      <c r="J222" s="2">
        <v>93554</v>
      </c>
      <c r="K222">
        <v>0</v>
      </c>
      <c r="L222">
        <v>9</v>
      </c>
      <c r="M222" t="s">
        <v>101</v>
      </c>
      <c r="N222" t="s">
        <v>44</v>
      </c>
      <c r="O222">
        <v>1886</v>
      </c>
      <c r="P222" s="1">
        <v>35689</v>
      </c>
      <c r="Q222" t="s">
        <v>67</v>
      </c>
      <c r="R222" t="s">
        <v>58</v>
      </c>
      <c r="S222" t="s">
        <v>47</v>
      </c>
      <c r="T222" t="s">
        <v>48</v>
      </c>
      <c r="U222" t="s">
        <v>88</v>
      </c>
      <c r="V222" s="1">
        <v>44875</v>
      </c>
      <c r="W222" s="1" t="s">
        <v>492</v>
      </c>
      <c r="X222" t="s">
        <v>50</v>
      </c>
      <c r="Y222" t="s">
        <v>51</v>
      </c>
      <c r="Z222" t="s">
        <v>61</v>
      </c>
      <c r="AA222" t="s">
        <v>62</v>
      </c>
      <c r="AB222">
        <v>4</v>
      </c>
      <c r="AC222" t="s">
        <v>86</v>
      </c>
      <c r="AD222" t="s">
        <v>55</v>
      </c>
      <c r="AE222">
        <v>4.5999999999999996</v>
      </c>
      <c r="AF222">
        <v>5</v>
      </c>
      <c r="AG222">
        <v>7</v>
      </c>
      <c r="AH222" s="1">
        <v>46026</v>
      </c>
      <c r="AI222">
        <v>0</v>
      </c>
      <c r="AJ222">
        <v>16</v>
      </c>
      <c r="AK222">
        <v>1</v>
      </c>
      <c r="AL222">
        <v>28.8</v>
      </c>
      <c r="AM222" t="s">
        <v>500</v>
      </c>
      <c r="AN222">
        <v>3.8</v>
      </c>
      <c r="AO222" t="s">
        <v>508</v>
      </c>
      <c r="AP222">
        <v>4</v>
      </c>
    </row>
    <row r="223" spans="1:42" x14ac:dyDescent="0.2">
      <c r="A223" t="s">
        <v>388</v>
      </c>
      <c r="B223">
        <v>10050</v>
      </c>
      <c r="C223">
        <v>1</v>
      </c>
      <c r="D223">
        <v>1</v>
      </c>
      <c r="E223">
        <v>1</v>
      </c>
      <c r="F223">
        <v>5</v>
      </c>
      <c r="G223">
        <v>5</v>
      </c>
      <c r="H223">
        <v>3</v>
      </c>
      <c r="I223">
        <v>0</v>
      </c>
      <c r="J223" s="2">
        <v>64724</v>
      </c>
      <c r="K223">
        <v>1</v>
      </c>
      <c r="L223">
        <v>19</v>
      </c>
      <c r="M223" t="s">
        <v>43</v>
      </c>
      <c r="N223" t="s">
        <v>44</v>
      </c>
      <c r="O223">
        <v>2451</v>
      </c>
      <c r="P223" s="1">
        <v>36956</v>
      </c>
      <c r="Q223" t="s">
        <v>45</v>
      </c>
      <c r="R223" t="s">
        <v>58</v>
      </c>
      <c r="S223" t="s">
        <v>47</v>
      </c>
      <c r="T223" t="s">
        <v>48</v>
      </c>
      <c r="U223" t="s">
        <v>118</v>
      </c>
      <c r="V223" s="1">
        <v>43651</v>
      </c>
      <c r="W223" s="1">
        <v>44165</v>
      </c>
      <c r="X223" t="s">
        <v>198</v>
      </c>
      <c r="Y223" t="s">
        <v>60</v>
      </c>
      <c r="Z223" t="s">
        <v>52</v>
      </c>
      <c r="AA223" t="s">
        <v>89</v>
      </c>
      <c r="AB223">
        <v>12</v>
      </c>
      <c r="AC223" t="s">
        <v>76</v>
      </c>
      <c r="AD223" t="s">
        <v>64</v>
      </c>
      <c r="AE223">
        <v>5</v>
      </c>
      <c r="AF223">
        <v>3</v>
      </c>
      <c r="AG223">
        <v>0</v>
      </c>
      <c r="AH223" s="1">
        <v>43516</v>
      </c>
      <c r="AI223">
        <v>0</v>
      </c>
      <c r="AJ223">
        <v>13</v>
      </c>
      <c r="AK223">
        <v>0</v>
      </c>
      <c r="AL223">
        <v>25.5</v>
      </c>
      <c r="AM223" t="s">
        <v>500</v>
      </c>
      <c r="AN223">
        <v>7.1</v>
      </c>
      <c r="AO223" t="s">
        <v>521</v>
      </c>
      <c r="AP223">
        <v>5</v>
      </c>
    </row>
    <row r="224" spans="1:42" x14ac:dyDescent="0.2">
      <c r="A224" t="s">
        <v>389</v>
      </c>
      <c r="B224">
        <v>10164</v>
      </c>
      <c r="C224">
        <v>0</v>
      </c>
      <c r="D224">
        <v>0</v>
      </c>
      <c r="E224">
        <v>1</v>
      </c>
      <c r="F224">
        <v>1</v>
      </c>
      <c r="G224">
        <v>5</v>
      </c>
      <c r="H224">
        <v>3</v>
      </c>
      <c r="I224">
        <v>0</v>
      </c>
      <c r="J224" s="2">
        <v>47001</v>
      </c>
      <c r="K224">
        <v>0</v>
      </c>
      <c r="L224">
        <v>19</v>
      </c>
      <c r="M224" t="s">
        <v>43</v>
      </c>
      <c r="N224" t="s">
        <v>44</v>
      </c>
      <c r="O224">
        <v>2451</v>
      </c>
      <c r="P224" s="1">
        <v>34661</v>
      </c>
      <c r="Q224" t="s">
        <v>45</v>
      </c>
      <c r="R224" t="s">
        <v>46</v>
      </c>
      <c r="S224" t="s">
        <v>47</v>
      </c>
      <c r="T224" t="s">
        <v>48</v>
      </c>
      <c r="U224" t="s">
        <v>49</v>
      </c>
      <c r="V224" s="1">
        <v>42313</v>
      </c>
      <c r="W224" s="1" t="s">
        <v>492</v>
      </c>
      <c r="X224" t="s">
        <v>50</v>
      </c>
      <c r="Y224" t="s">
        <v>51</v>
      </c>
      <c r="Z224" t="s">
        <v>52</v>
      </c>
      <c r="AA224" t="s">
        <v>97</v>
      </c>
      <c r="AB224">
        <v>14</v>
      </c>
      <c r="AC224" t="s">
        <v>76</v>
      </c>
      <c r="AD224" t="s">
        <v>64</v>
      </c>
      <c r="AE224">
        <v>3.66</v>
      </c>
      <c r="AF224">
        <v>3</v>
      </c>
      <c r="AG224">
        <v>0</v>
      </c>
      <c r="AH224" s="1">
        <v>46078</v>
      </c>
      <c r="AI224">
        <v>0</v>
      </c>
      <c r="AJ224">
        <v>15</v>
      </c>
      <c r="AK224">
        <v>1</v>
      </c>
      <c r="AL224">
        <v>31.8</v>
      </c>
      <c r="AM224" t="s">
        <v>500</v>
      </c>
      <c r="AN224">
        <v>10.8</v>
      </c>
      <c r="AO224" t="s">
        <v>521</v>
      </c>
      <c r="AP224">
        <v>5</v>
      </c>
    </row>
    <row r="225" spans="1:42" x14ac:dyDescent="0.2">
      <c r="A225" t="s">
        <v>390</v>
      </c>
      <c r="B225">
        <v>10124</v>
      </c>
      <c r="C225">
        <v>1</v>
      </c>
      <c r="D225">
        <v>1</v>
      </c>
      <c r="E225">
        <v>0</v>
      </c>
      <c r="F225">
        <v>1</v>
      </c>
      <c r="G225">
        <v>6</v>
      </c>
      <c r="H225">
        <v>3</v>
      </c>
      <c r="I225">
        <v>0</v>
      </c>
      <c r="J225" s="2">
        <v>61844</v>
      </c>
      <c r="K225">
        <v>0</v>
      </c>
      <c r="L225">
        <v>3</v>
      </c>
      <c r="M225" t="s">
        <v>145</v>
      </c>
      <c r="N225" t="s">
        <v>391</v>
      </c>
      <c r="O225">
        <v>40220</v>
      </c>
      <c r="P225" s="1">
        <v>37132</v>
      </c>
      <c r="Q225" t="s">
        <v>67</v>
      </c>
      <c r="R225" t="s">
        <v>58</v>
      </c>
      <c r="S225" t="s">
        <v>47</v>
      </c>
      <c r="T225" t="s">
        <v>48</v>
      </c>
      <c r="U225" t="s">
        <v>88</v>
      </c>
      <c r="V225" s="1">
        <v>43839</v>
      </c>
      <c r="W225" s="1" t="s">
        <v>492</v>
      </c>
      <c r="X225" t="s">
        <v>50</v>
      </c>
      <c r="Y225" t="s">
        <v>51</v>
      </c>
      <c r="Z225" t="s">
        <v>5</v>
      </c>
      <c r="AA225" t="s">
        <v>165</v>
      </c>
      <c r="AB225">
        <v>21</v>
      </c>
      <c r="AC225" t="s">
        <v>206</v>
      </c>
      <c r="AD225" t="s">
        <v>64</v>
      </c>
      <c r="AE225">
        <v>4.2</v>
      </c>
      <c r="AF225">
        <v>5</v>
      </c>
      <c r="AG225">
        <v>0</v>
      </c>
      <c r="AH225" s="1">
        <v>46054</v>
      </c>
      <c r="AI225">
        <v>0</v>
      </c>
      <c r="AJ225">
        <v>9</v>
      </c>
      <c r="AK225">
        <v>1</v>
      </c>
      <c r="AL225">
        <v>25</v>
      </c>
      <c r="AM225" t="s">
        <v>500</v>
      </c>
      <c r="AN225">
        <v>6.7</v>
      </c>
      <c r="AO225" t="s">
        <v>521</v>
      </c>
      <c r="AP225">
        <v>5</v>
      </c>
    </row>
    <row r="226" spans="1:42" x14ac:dyDescent="0.2">
      <c r="A226" t="s">
        <v>392</v>
      </c>
      <c r="B226">
        <v>10187</v>
      </c>
      <c r="C226">
        <v>0</v>
      </c>
      <c r="D226">
        <v>2</v>
      </c>
      <c r="E226">
        <v>0</v>
      </c>
      <c r="F226">
        <v>5</v>
      </c>
      <c r="G226">
        <v>5</v>
      </c>
      <c r="H226">
        <v>3</v>
      </c>
      <c r="I226">
        <v>0</v>
      </c>
      <c r="J226" s="2">
        <v>46799</v>
      </c>
      <c r="K226">
        <v>1</v>
      </c>
      <c r="L226">
        <v>19</v>
      </c>
      <c r="M226" t="s">
        <v>43</v>
      </c>
      <c r="N226" t="s">
        <v>44</v>
      </c>
      <c r="O226">
        <v>1742</v>
      </c>
      <c r="P226" s="1">
        <v>35718</v>
      </c>
      <c r="Q226" t="s">
        <v>67</v>
      </c>
      <c r="R226" t="s">
        <v>73</v>
      </c>
      <c r="S226" t="s">
        <v>113</v>
      </c>
      <c r="T226" t="s">
        <v>48</v>
      </c>
      <c r="U226" t="s">
        <v>118</v>
      </c>
      <c r="V226" s="1">
        <v>43601</v>
      </c>
      <c r="W226" s="1">
        <v>46177</v>
      </c>
      <c r="X226" t="s">
        <v>96</v>
      </c>
      <c r="Y226" t="s">
        <v>60</v>
      </c>
      <c r="Z226" t="s">
        <v>52</v>
      </c>
      <c r="AA226" t="s">
        <v>69</v>
      </c>
      <c r="AB226">
        <v>20</v>
      </c>
      <c r="AC226" t="s">
        <v>76</v>
      </c>
      <c r="AD226" t="s">
        <v>64</v>
      </c>
      <c r="AE226">
        <v>3.17</v>
      </c>
      <c r="AF226">
        <v>4</v>
      </c>
      <c r="AG226">
        <v>0</v>
      </c>
      <c r="AH226" s="1">
        <v>45749</v>
      </c>
      <c r="AI226">
        <v>0</v>
      </c>
      <c r="AJ226">
        <v>14</v>
      </c>
      <c r="AK226">
        <v>0</v>
      </c>
      <c r="AL226">
        <v>28.8</v>
      </c>
      <c r="AM226" t="s">
        <v>500</v>
      </c>
      <c r="AN226">
        <v>7.3</v>
      </c>
      <c r="AO226" t="s">
        <v>521</v>
      </c>
      <c r="AP226">
        <v>5</v>
      </c>
    </row>
    <row r="227" spans="1:42" x14ac:dyDescent="0.2">
      <c r="A227" t="s">
        <v>393</v>
      </c>
      <c r="B227">
        <v>10225</v>
      </c>
      <c r="C227">
        <v>0</v>
      </c>
      <c r="D227">
        <v>0</v>
      </c>
      <c r="E227">
        <v>1</v>
      </c>
      <c r="F227">
        <v>1</v>
      </c>
      <c r="G227">
        <v>5</v>
      </c>
      <c r="H227">
        <v>3</v>
      </c>
      <c r="I227">
        <v>0</v>
      </c>
      <c r="J227" s="2">
        <v>59472</v>
      </c>
      <c r="K227">
        <v>0</v>
      </c>
      <c r="L227">
        <v>19</v>
      </c>
      <c r="M227" t="s">
        <v>43</v>
      </c>
      <c r="N227" t="s">
        <v>44</v>
      </c>
      <c r="O227">
        <v>2109</v>
      </c>
      <c r="P227" s="1">
        <v>27199</v>
      </c>
      <c r="Q227" t="s">
        <v>45</v>
      </c>
      <c r="R227" t="s">
        <v>46</v>
      </c>
      <c r="S227" t="s">
        <v>47</v>
      </c>
      <c r="T227" t="s">
        <v>48</v>
      </c>
      <c r="U227" t="s">
        <v>49</v>
      </c>
      <c r="V227" s="1">
        <v>44567</v>
      </c>
      <c r="W227" s="1" t="s">
        <v>492</v>
      </c>
      <c r="X227" t="s">
        <v>50</v>
      </c>
      <c r="Y227" t="s">
        <v>51</v>
      </c>
      <c r="Z227" t="s">
        <v>52</v>
      </c>
      <c r="AA227" t="s">
        <v>105</v>
      </c>
      <c r="AB227">
        <v>18</v>
      </c>
      <c r="AC227" t="s">
        <v>86</v>
      </c>
      <c r="AD227" t="s">
        <v>64</v>
      </c>
      <c r="AE227">
        <v>4.8</v>
      </c>
      <c r="AF227">
        <v>3</v>
      </c>
      <c r="AG227">
        <v>0</v>
      </c>
      <c r="AH227" s="1">
        <v>46029</v>
      </c>
      <c r="AI227">
        <v>0</v>
      </c>
      <c r="AJ227">
        <v>14</v>
      </c>
      <c r="AK227">
        <v>1</v>
      </c>
      <c r="AL227">
        <v>52.2</v>
      </c>
      <c r="AM227" t="s">
        <v>502</v>
      </c>
      <c r="AN227">
        <v>4.7</v>
      </c>
      <c r="AO227" t="s">
        <v>508</v>
      </c>
      <c r="AP227">
        <v>4</v>
      </c>
    </row>
    <row r="228" spans="1:42" x14ac:dyDescent="0.2">
      <c r="A228" t="s">
        <v>394</v>
      </c>
      <c r="B228">
        <v>10262</v>
      </c>
      <c r="C228">
        <v>0</v>
      </c>
      <c r="D228">
        <v>2</v>
      </c>
      <c r="E228">
        <v>0</v>
      </c>
      <c r="F228">
        <v>5</v>
      </c>
      <c r="G228">
        <v>5</v>
      </c>
      <c r="H228">
        <v>3</v>
      </c>
      <c r="I228">
        <v>0</v>
      </c>
      <c r="J228" s="2">
        <v>46430</v>
      </c>
      <c r="K228">
        <v>1</v>
      </c>
      <c r="L228">
        <v>19</v>
      </c>
      <c r="M228" t="s">
        <v>43</v>
      </c>
      <c r="N228" t="s">
        <v>44</v>
      </c>
      <c r="O228">
        <v>2474</v>
      </c>
      <c r="P228" s="1">
        <v>30581</v>
      </c>
      <c r="Q228" t="s">
        <v>67</v>
      </c>
      <c r="R228" t="s">
        <v>73</v>
      </c>
      <c r="S228" t="s">
        <v>47</v>
      </c>
      <c r="T228" t="s">
        <v>48</v>
      </c>
      <c r="U228" t="s">
        <v>49</v>
      </c>
      <c r="V228" s="1">
        <v>44098</v>
      </c>
      <c r="W228" s="1">
        <v>44365</v>
      </c>
      <c r="X228" t="s">
        <v>99</v>
      </c>
      <c r="Y228" t="s">
        <v>60</v>
      </c>
      <c r="Z228" t="s">
        <v>52</v>
      </c>
      <c r="AA228" t="s">
        <v>69</v>
      </c>
      <c r="AB228">
        <v>20</v>
      </c>
      <c r="AC228" t="s">
        <v>63</v>
      </c>
      <c r="AD228" t="s">
        <v>64</v>
      </c>
      <c r="AE228">
        <v>4.5</v>
      </c>
      <c r="AF228">
        <v>5</v>
      </c>
      <c r="AG228">
        <v>0</v>
      </c>
      <c r="AH228" s="1">
        <v>43923</v>
      </c>
      <c r="AI228">
        <v>0</v>
      </c>
      <c r="AJ228">
        <v>16</v>
      </c>
      <c r="AK228">
        <v>0</v>
      </c>
      <c r="AL228">
        <v>42.8</v>
      </c>
      <c r="AM228" t="s">
        <v>501</v>
      </c>
      <c r="AN228">
        <v>5.8</v>
      </c>
      <c r="AO228" t="s">
        <v>521</v>
      </c>
      <c r="AP228">
        <v>5</v>
      </c>
    </row>
    <row r="229" spans="1:42" x14ac:dyDescent="0.2">
      <c r="A229" t="s">
        <v>395</v>
      </c>
      <c r="B229">
        <v>10131</v>
      </c>
      <c r="C229">
        <v>1</v>
      </c>
      <c r="D229">
        <v>1</v>
      </c>
      <c r="E229">
        <v>1</v>
      </c>
      <c r="F229">
        <v>5</v>
      </c>
      <c r="G229">
        <v>1</v>
      </c>
      <c r="H229">
        <v>3</v>
      </c>
      <c r="I229">
        <v>1</v>
      </c>
      <c r="J229" s="2">
        <v>83363</v>
      </c>
      <c r="K229">
        <v>1</v>
      </c>
      <c r="L229">
        <v>23</v>
      </c>
      <c r="M229" t="s">
        <v>80</v>
      </c>
      <c r="N229" t="s">
        <v>44</v>
      </c>
      <c r="O229">
        <v>2045</v>
      </c>
      <c r="P229" s="1">
        <v>35740</v>
      </c>
      <c r="Q229" t="s">
        <v>45</v>
      </c>
      <c r="R229" t="s">
        <v>58</v>
      </c>
      <c r="S229" t="s">
        <v>113</v>
      </c>
      <c r="T229" t="s">
        <v>48</v>
      </c>
      <c r="U229" t="s">
        <v>88</v>
      </c>
      <c r="V229" s="1">
        <v>43517</v>
      </c>
      <c r="W229" s="1">
        <v>45153</v>
      </c>
      <c r="X229" t="s">
        <v>59</v>
      </c>
      <c r="Y229" t="s">
        <v>60</v>
      </c>
      <c r="Z229" t="s">
        <v>81</v>
      </c>
      <c r="AA229" t="s">
        <v>137</v>
      </c>
      <c r="AB229">
        <v>2</v>
      </c>
      <c r="AC229" t="s">
        <v>90</v>
      </c>
      <c r="AD229" t="s">
        <v>64</v>
      </c>
      <c r="AE229">
        <v>4.1500000000000004</v>
      </c>
      <c r="AF229">
        <v>4</v>
      </c>
      <c r="AG229">
        <v>0</v>
      </c>
      <c r="AH229" s="1">
        <v>44305</v>
      </c>
      <c r="AI229">
        <v>0</v>
      </c>
      <c r="AJ229">
        <v>4</v>
      </c>
      <c r="AK229">
        <v>0</v>
      </c>
      <c r="AL229">
        <v>28.8</v>
      </c>
      <c r="AM229" t="s">
        <v>500</v>
      </c>
      <c r="AN229">
        <v>7.6</v>
      </c>
      <c r="AO229" t="s">
        <v>521</v>
      </c>
      <c r="AP229">
        <v>5</v>
      </c>
    </row>
    <row r="230" spans="1:42" x14ac:dyDescent="0.2">
      <c r="A230" t="s">
        <v>396</v>
      </c>
      <c r="B230">
        <v>10239</v>
      </c>
      <c r="C230">
        <v>1</v>
      </c>
      <c r="D230">
        <v>1</v>
      </c>
      <c r="E230">
        <v>0</v>
      </c>
      <c r="F230">
        <v>1</v>
      </c>
      <c r="G230">
        <v>3</v>
      </c>
      <c r="H230">
        <v>3</v>
      </c>
      <c r="I230">
        <v>0</v>
      </c>
      <c r="J230" s="2">
        <v>95920</v>
      </c>
      <c r="K230">
        <v>0</v>
      </c>
      <c r="L230">
        <v>4</v>
      </c>
      <c r="M230" t="s">
        <v>201</v>
      </c>
      <c r="N230" t="s">
        <v>44</v>
      </c>
      <c r="O230">
        <v>2110</v>
      </c>
      <c r="P230" s="1">
        <v>34101</v>
      </c>
      <c r="Q230" t="s">
        <v>67</v>
      </c>
      <c r="R230" t="s">
        <v>58</v>
      </c>
      <c r="S230" t="s">
        <v>47</v>
      </c>
      <c r="T230" t="s">
        <v>48</v>
      </c>
      <c r="U230" t="s">
        <v>88</v>
      </c>
      <c r="V230" s="1">
        <v>45567</v>
      </c>
      <c r="W230" s="1" t="s">
        <v>492</v>
      </c>
      <c r="X230" t="s">
        <v>50</v>
      </c>
      <c r="Y230" t="s">
        <v>51</v>
      </c>
      <c r="Z230" t="s">
        <v>61</v>
      </c>
      <c r="AA230" t="s">
        <v>202</v>
      </c>
      <c r="AB230">
        <v>13</v>
      </c>
      <c r="AC230" t="s">
        <v>63</v>
      </c>
      <c r="AD230" t="s">
        <v>64</v>
      </c>
      <c r="AE230">
        <v>4.4000000000000004</v>
      </c>
      <c r="AF230">
        <v>4</v>
      </c>
      <c r="AG230">
        <v>6</v>
      </c>
      <c r="AH230" s="1">
        <v>46059</v>
      </c>
      <c r="AI230">
        <v>0</v>
      </c>
      <c r="AJ230">
        <v>10</v>
      </c>
      <c r="AK230">
        <v>1</v>
      </c>
      <c r="AL230">
        <v>33.299999999999997</v>
      </c>
      <c r="AM230" t="s">
        <v>500</v>
      </c>
      <c r="AN230">
        <v>1.8</v>
      </c>
      <c r="AO230" t="s">
        <v>506</v>
      </c>
      <c r="AP230">
        <v>2</v>
      </c>
    </row>
    <row r="231" spans="1:42" x14ac:dyDescent="0.2">
      <c r="A231" t="s">
        <v>397</v>
      </c>
      <c r="B231">
        <v>10152</v>
      </c>
      <c r="C231">
        <v>0</v>
      </c>
      <c r="D231">
        <v>2</v>
      </c>
      <c r="E231">
        <v>1</v>
      </c>
      <c r="F231">
        <v>5</v>
      </c>
      <c r="G231">
        <v>5</v>
      </c>
      <c r="H231">
        <v>3</v>
      </c>
      <c r="I231">
        <v>0</v>
      </c>
      <c r="J231" s="2">
        <v>61729</v>
      </c>
      <c r="K231">
        <v>1</v>
      </c>
      <c r="L231">
        <v>19</v>
      </c>
      <c r="M231" t="s">
        <v>43</v>
      </c>
      <c r="N231" t="s">
        <v>44</v>
      </c>
      <c r="O231">
        <v>2478</v>
      </c>
      <c r="P231" s="1">
        <v>35795</v>
      </c>
      <c r="Q231" t="s">
        <v>45</v>
      </c>
      <c r="R231" t="s">
        <v>73</v>
      </c>
      <c r="S231" t="s">
        <v>47</v>
      </c>
      <c r="T231" t="s">
        <v>48</v>
      </c>
      <c r="U231" t="s">
        <v>49</v>
      </c>
      <c r="V231" s="1">
        <v>43734</v>
      </c>
      <c r="W231" s="1">
        <v>46119</v>
      </c>
      <c r="X231" t="s">
        <v>198</v>
      </c>
      <c r="Y231" t="s">
        <v>60</v>
      </c>
      <c r="Z231" t="s">
        <v>52</v>
      </c>
      <c r="AA231" t="s">
        <v>53</v>
      </c>
      <c r="AB231">
        <v>22</v>
      </c>
      <c r="AC231" t="s">
        <v>63</v>
      </c>
      <c r="AD231" t="s">
        <v>64</v>
      </c>
      <c r="AE231">
        <v>3.8</v>
      </c>
      <c r="AF231">
        <v>5</v>
      </c>
      <c r="AG231">
        <v>0</v>
      </c>
      <c r="AH231" s="1">
        <v>45692</v>
      </c>
      <c r="AI231">
        <v>0</v>
      </c>
      <c r="AJ231">
        <v>19</v>
      </c>
      <c r="AK231">
        <v>0</v>
      </c>
      <c r="AL231">
        <v>28.8</v>
      </c>
      <c r="AM231" t="s">
        <v>500</v>
      </c>
      <c r="AN231">
        <v>6.8</v>
      </c>
      <c r="AO231" t="s">
        <v>521</v>
      </c>
      <c r="AP231">
        <v>5</v>
      </c>
    </row>
    <row r="232" spans="1:42" x14ac:dyDescent="0.2">
      <c r="A232" t="s">
        <v>398</v>
      </c>
      <c r="B232">
        <v>10140</v>
      </c>
      <c r="C232">
        <v>1</v>
      </c>
      <c r="D232">
        <v>1</v>
      </c>
      <c r="E232">
        <v>1</v>
      </c>
      <c r="F232">
        <v>1</v>
      </c>
      <c r="G232">
        <v>6</v>
      </c>
      <c r="H232">
        <v>3</v>
      </c>
      <c r="I232">
        <v>0</v>
      </c>
      <c r="J232" s="2">
        <v>61809</v>
      </c>
      <c r="K232">
        <v>0</v>
      </c>
      <c r="L232">
        <v>3</v>
      </c>
      <c r="M232" t="s">
        <v>145</v>
      </c>
      <c r="N232" t="s">
        <v>399</v>
      </c>
      <c r="O232">
        <v>83706</v>
      </c>
      <c r="P232" s="1">
        <v>24757</v>
      </c>
      <c r="Q232" t="s">
        <v>45</v>
      </c>
      <c r="R232" t="s">
        <v>58</v>
      </c>
      <c r="S232" t="s">
        <v>47</v>
      </c>
      <c r="T232" t="s">
        <v>48</v>
      </c>
      <c r="U232" t="s">
        <v>49</v>
      </c>
      <c r="V232" s="1">
        <v>44693</v>
      </c>
      <c r="W232" s="1" t="s">
        <v>492</v>
      </c>
      <c r="X232" t="s">
        <v>50</v>
      </c>
      <c r="Y232" t="s">
        <v>51</v>
      </c>
      <c r="Z232" t="s">
        <v>5</v>
      </c>
      <c r="AA232" t="s">
        <v>147</v>
      </c>
      <c r="AB232">
        <v>17</v>
      </c>
      <c r="AC232" t="s">
        <v>123</v>
      </c>
      <c r="AD232" t="s">
        <v>64</v>
      </c>
      <c r="AE232">
        <v>3.98</v>
      </c>
      <c r="AF232">
        <v>3</v>
      </c>
      <c r="AG232">
        <v>0</v>
      </c>
      <c r="AH232" s="1">
        <v>46050</v>
      </c>
      <c r="AI232">
        <v>0</v>
      </c>
      <c r="AJ232">
        <v>4</v>
      </c>
      <c r="AK232">
        <v>1</v>
      </c>
      <c r="AL232">
        <v>58.8</v>
      </c>
      <c r="AM232" t="s">
        <v>518</v>
      </c>
      <c r="AN232">
        <v>4.3</v>
      </c>
      <c r="AO232" t="s">
        <v>508</v>
      </c>
      <c r="AP232">
        <v>4</v>
      </c>
    </row>
    <row r="233" spans="1:42" x14ac:dyDescent="0.2">
      <c r="A233" t="s">
        <v>400</v>
      </c>
      <c r="B233">
        <v>10058</v>
      </c>
      <c r="C233">
        <v>0</v>
      </c>
      <c r="D233">
        <v>2</v>
      </c>
      <c r="E233">
        <v>1</v>
      </c>
      <c r="F233">
        <v>5</v>
      </c>
      <c r="G233">
        <v>5</v>
      </c>
      <c r="H233">
        <v>3</v>
      </c>
      <c r="I233">
        <v>0</v>
      </c>
      <c r="J233" s="2">
        <v>45115</v>
      </c>
      <c r="K233">
        <v>1</v>
      </c>
      <c r="L233">
        <v>19</v>
      </c>
      <c r="M233" t="s">
        <v>43</v>
      </c>
      <c r="N233" t="s">
        <v>44</v>
      </c>
      <c r="O233">
        <v>2176</v>
      </c>
      <c r="P233" s="1">
        <v>34902</v>
      </c>
      <c r="Q233" t="s">
        <v>45</v>
      </c>
      <c r="R233" t="s">
        <v>73</v>
      </c>
      <c r="S233" t="s">
        <v>47</v>
      </c>
      <c r="T233" t="s">
        <v>95</v>
      </c>
      <c r="U233" t="s">
        <v>49</v>
      </c>
      <c r="V233" s="1">
        <v>43601</v>
      </c>
      <c r="W233" s="1">
        <v>45306</v>
      </c>
      <c r="X233" t="s">
        <v>136</v>
      </c>
      <c r="Y233" t="s">
        <v>60</v>
      </c>
      <c r="Z233" t="s">
        <v>52</v>
      </c>
      <c r="AA233" t="s">
        <v>71</v>
      </c>
      <c r="AB233">
        <v>16</v>
      </c>
      <c r="AC233" t="s">
        <v>54</v>
      </c>
      <c r="AD233" t="s">
        <v>64</v>
      </c>
      <c r="AE233">
        <v>5</v>
      </c>
      <c r="AF233">
        <v>4</v>
      </c>
      <c r="AG233">
        <v>0</v>
      </c>
      <c r="AH233" s="1">
        <v>44650</v>
      </c>
      <c r="AI233">
        <v>0</v>
      </c>
      <c r="AJ233">
        <v>11</v>
      </c>
      <c r="AK233">
        <v>0</v>
      </c>
      <c r="AL233">
        <v>31.1</v>
      </c>
      <c r="AM233" t="s">
        <v>500</v>
      </c>
      <c r="AN233">
        <v>7.3</v>
      </c>
      <c r="AO233" t="s">
        <v>521</v>
      </c>
      <c r="AP233">
        <v>5</v>
      </c>
    </row>
    <row r="234" spans="1:42" x14ac:dyDescent="0.2">
      <c r="A234" t="s">
        <v>401</v>
      </c>
      <c r="B234">
        <v>10011</v>
      </c>
      <c r="C234">
        <v>1</v>
      </c>
      <c r="D234">
        <v>1</v>
      </c>
      <c r="E234">
        <v>0</v>
      </c>
      <c r="F234">
        <v>1</v>
      </c>
      <c r="G234">
        <v>5</v>
      </c>
      <c r="H234">
        <v>4</v>
      </c>
      <c r="I234">
        <v>0</v>
      </c>
      <c r="J234" s="2">
        <v>46738</v>
      </c>
      <c r="K234">
        <v>0</v>
      </c>
      <c r="L234">
        <v>19</v>
      </c>
      <c r="M234" t="s">
        <v>43</v>
      </c>
      <c r="N234" t="s">
        <v>44</v>
      </c>
      <c r="O234">
        <v>2171</v>
      </c>
      <c r="P234" s="1">
        <v>31424</v>
      </c>
      <c r="Q234" t="s">
        <v>67</v>
      </c>
      <c r="R234" t="s">
        <v>58</v>
      </c>
      <c r="S234" t="s">
        <v>47</v>
      </c>
      <c r="T234" t="s">
        <v>48</v>
      </c>
      <c r="U234" t="s">
        <v>118</v>
      </c>
      <c r="V234" s="1">
        <v>43797</v>
      </c>
      <c r="W234" s="1" t="s">
        <v>492</v>
      </c>
      <c r="X234" t="s">
        <v>50</v>
      </c>
      <c r="Y234" t="s">
        <v>51</v>
      </c>
      <c r="Z234" t="s">
        <v>52</v>
      </c>
      <c r="AA234" t="s">
        <v>75</v>
      </c>
      <c r="AC234" t="s">
        <v>76</v>
      </c>
      <c r="AD234" t="s">
        <v>55</v>
      </c>
      <c r="AE234">
        <v>4.3600000000000003</v>
      </c>
      <c r="AF234">
        <v>5</v>
      </c>
      <c r="AG234">
        <v>0</v>
      </c>
      <c r="AH234" s="1">
        <v>46064</v>
      </c>
      <c r="AI234">
        <v>0</v>
      </c>
      <c r="AJ234">
        <v>16</v>
      </c>
      <c r="AK234">
        <v>1</v>
      </c>
      <c r="AL234">
        <v>40.700000000000003</v>
      </c>
      <c r="AM234" t="s">
        <v>501</v>
      </c>
      <c r="AN234">
        <v>6.8</v>
      </c>
      <c r="AO234" t="s">
        <v>521</v>
      </c>
      <c r="AP234">
        <v>5</v>
      </c>
    </row>
    <row r="235" spans="1:42" x14ac:dyDescent="0.2">
      <c r="A235" t="s">
        <v>402</v>
      </c>
      <c r="B235">
        <v>10230</v>
      </c>
      <c r="C235">
        <v>0</v>
      </c>
      <c r="D235">
        <v>2</v>
      </c>
      <c r="E235">
        <v>0</v>
      </c>
      <c r="F235">
        <v>5</v>
      </c>
      <c r="G235">
        <v>5</v>
      </c>
      <c r="H235">
        <v>3</v>
      </c>
      <c r="I235">
        <v>0</v>
      </c>
      <c r="J235" s="2">
        <v>64971</v>
      </c>
      <c r="K235">
        <v>1</v>
      </c>
      <c r="L235">
        <v>20</v>
      </c>
      <c r="M235" t="s">
        <v>66</v>
      </c>
      <c r="N235" t="s">
        <v>44</v>
      </c>
      <c r="O235">
        <v>1902</v>
      </c>
      <c r="P235" s="1">
        <v>34582</v>
      </c>
      <c r="Q235" t="s">
        <v>67</v>
      </c>
      <c r="R235" t="s">
        <v>73</v>
      </c>
      <c r="S235" t="s">
        <v>113</v>
      </c>
      <c r="T235" t="s">
        <v>48</v>
      </c>
      <c r="U235" t="s">
        <v>88</v>
      </c>
      <c r="V235" s="1">
        <v>43734</v>
      </c>
      <c r="W235" s="1">
        <v>43760</v>
      </c>
      <c r="X235" t="s">
        <v>74</v>
      </c>
      <c r="Y235" t="s">
        <v>60</v>
      </c>
      <c r="Z235" t="s">
        <v>52</v>
      </c>
      <c r="AA235" t="s">
        <v>97</v>
      </c>
      <c r="AB235">
        <v>14</v>
      </c>
      <c r="AC235" t="s">
        <v>76</v>
      </c>
      <c r="AD235" t="s">
        <v>64</v>
      </c>
      <c r="AE235">
        <v>4.5</v>
      </c>
      <c r="AF235">
        <v>4</v>
      </c>
      <c r="AG235">
        <v>0</v>
      </c>
      <c r="AH235" s="1">
        <v>43395</v>
      </c>
      <c r="AI235">
        <v>0</v>
      </c>
      <c r="AJ235">
        <v>10</v>
      </c>
      <c r="AK235">
        <v>0</v>
      </c>
      <c r="AL235">
        <v>31.8</v>
      </c>
      <c r="AM235" t="s">
        <v>500</v>
      </c>
      <c r="AN235">
        <v>6.8</v>
      </c>
      <c r="AO235" t="s">
        <v>521</v>
      </c>
      <c r="AP235">
        <v>5</v>
      </c>
    </row>
    <row r="236" spans="1:42" x14ac:dyDescent="0.2">
      <c r="A236" t="s">
        <v>403</v>
      </c>
      <c r="B236">
        <v>10224</v>
      </c>
      <c r="C236">
        <v>1</v>
      </c>
      <c r="D236">
        <v>1</v>
      </c>
      <c r="E236">
        <v>1</v>
      </c>
      <c r="F236">
        <v>5</v>
      </c>
      <c r="G236">
        <v>5</v>
      </c>
      <c r="H236">
        <v>3</v>
      </c>
      <c r="I236">
        <v>0</v>
      </c>
      <c r="J236" s="2">
        <v>55578</v>
      </c>
      <c r="K236">
        <v>1</v>
      </c>
      <c r="L236">
        <v>20</v>
      </c>
      <c r="M236" t="s">
        <v>66</v>
      </c>
      <c r="N236" t="s">
        <v>44</v>
      </c>
      <c r="O236">
        <v>2138</v>
      </c>
      <c r="P236" s="1">
        <v>31231</v>
      </c>
      <c r="Q236" t="s">
        <v>45</v>
      </c>
      <c r="R236" t="s">
        <v>58</v>
      </c>
      <c r="S236" t="s">
        <v>47</v>
      </c>
      <c r="T236" t="s">
        <v>48</v>
      </c>
      <c r="U236" t="s">
        <v>49</v>
      </c>
      <c r="V236" s="1">
        <v>43651</v>
      </c>
      <c r="W236" s="1">
        <v>43869</v>
      </c>
      <c r="X236" t="s">
        <v>96</v>
      </c>
      <c r="Y236" t="s">
        <v>60</v>
      </c>
      <c r="Z236" t="s">
        <v>52</v>
      </c>
      <c r="AA236" t="s">
        <v>69</v>
      </c>
      <c r="AB236">
        <v>20</v>
      </c>
      <c r="AC236" t="s">
        <v>63</v>
      </c>
      <c r="AD236" t="s">
        <v>64</v>
      </c>
      <c r="AE236">
        <v>4.2</v>
      </c>
      <c r="AF236">
        <v>5</v>
      </c>
      <c r="AG236">
        <v>0</v>
      </c>
      <c r="AH236" s="1">
        <v>43471</v>
      </c>
      <c r="AI236">
        <v>0</v>
      </c>
      <c r="AJ236">
        <v>13</v>
      </c>
      <c r="AK236">
        <v>0</v>
      </c>
      <c r="AL236">
        <v>41.1</v>
      </c>
      <c r="AM236" t="s">
        <v>501</v>
      </c>
      <c r="AN236">
        <v>7.1</v>
      </c>
      <c r="AO236" t="s">
        <v>521</v>
      </c>
      <c r="AP236">
        <v>5</v>
      </c>
    </row>
    <row r="237" spans="1:42" x14ac:dyDescent="0.2">
      <c r="A237" t="s">
        <v>404</v>
      </c>
      <c r="B237">
        <v>10047</v>
      </c>
      <c r="C237">
        <v>1</v>
      </c>
      <c r="D237">
        <v>1</v>
      </c>
      <c r="E237">
        <v>1</v>
      </c>
      <c r="F237">
        <v>5</v>
      </c>
      <c r="G237">
        <v>5</v>
      </c>
      <c r="H237">
        <v>3</v>
      </c>
      <c r="I237">
        <v>0</v>
      </c>
      <c r="J237" s="2">
        <v>50428</v>
      </c>
      <c r="K237">
        <v>1</v>
      </c>
      <c r="L237">
        <v>19</v>
      </c>
      <c r="M237" t="s">
        <v>43</v>
      </c>
      <c r="N237" t="s">
        <v>44</v>
      </c>
      <c r="O237">
        <v>1420</v>
      </c>
      <c r="P237" s="1">
        <v>31784</v>
      </c>
      <c r="Q237" t="s">
        <v>45</v>
      </c>
      <c r="R237" t="s">
        <v>58</v>
      </c>
      <c r="S237" t="s">
        <v>47</v>
      </c>
      <c r="T237" t="s">
        <v>48</v>
      </c>
      <c r="U237" t="s">
        <v>88</v>
      </c>
      <c r="V237" s="1">
        <v>43475</v>
      </c>
      <c r="W237" s="1">
        <v>45317</v>
      </c>
      <c r="X237" t="s">
        <v>109</v>
      </c>
      <c r="Y237" t="s">
        <v>60</v>
      </c>
      <c r="Z237" t="s">
        <v>52</v>
      </c>
      <c r="AA237" t="s">
        <v>78</v>
      </c>
      <c r="AB237">
        <v>11</v>
      </c>
      <c r="AC237" t="s">
        <v>63</v>
      </c>
      <c r="AD237" t="s">
        <v>64</v>
      </c>
      <c r="AE237">
        <v>5</v>
      </c>
      <c r="AF237">
        <v>3</v>
      </c>
      <c r="AG237">
        <v>0</v>
      </c>
      <c r="AH237" s="1">
        <v>44571</v>
      </c>
      <c r="AI237">
        <v>0</v>
      </c>
      <c r="AJ237">
        <v>11</v>
      </c>
      <c r="AK237">
        <v>0</v>
      </c>
      <c r="AL237">
        <v>39.700000000000003</v>
      </c>
      <c r="AM237" t="s">
        <v>501</v>
      </c>
      <c r="AN237">
        <v>7.7</v>
      </c>
      <c r="AO237" t="s">
        <v>521</v>
      </c>
      <c r="AP237">
        <v>5</v>
      </c>
    </row>
    <row r="238" spans="1:42" x14ac:dyDescent="0.2">
      <c r="A238" t="s">
        <v>405</v>
      </c>
      <c r="B238">
        <v>10285</v>
      </c>
      <c r="C238">
        <v>1</v>
      </c>
      <c r="D238">
        <v>1</v>
      </c>
      <c r="E238">
        <v>0</v>
      </c>
      <c r="F238">
        <v>4</v>
      </c>
      <c r="G238">
        <v>5</v>
      </c>
      <c r="H238">
        <v>2</v>
      </c>
      <c r="I238">
        <v>0</v>
      </c>
      <c r="J238" s="2">
        <v>61422</v>
      </c>
      <c r="K238">
        <v>1</v>
      </c>
      <c r="L238">
        <v>19</v>
      </c>
      <c r="M238" t="s">
        <v>43</v>
      </c>
      <c r="N238" t="s">
        <v>44</v>
      </c>
      <c r="O238">
        <v>1460</v>
      </c>
      <c r="P238" s="1">
        <v>35802</v>
      </c>
      <c r="Q238" t="s">
        <v>67</v>
      </c>
      <c r="R238" t="s">
        <v>58</v>
      </c>
      <c r="S238" t="s">
        <v>47</v>
      </c>
      <c r="T238" t="s">
        <v>48</v>
      </c>
      <c r="U238" t="s">
        <v>49</v>
      </c>
      <c r="V238" s="1">
        <v>43475</v>
      </c>
      <c r="W238" s="1">
        <v>45429</v>
      </c>
      <c r="X238" t="s">
        <v>109</v>
      </c>
      <c r="Y238" t="s">
        <v>110</v>
      </c>
      <c r="Z238" t="s">
        <v>52</v>
      </c>
      <c r="AA238" t="s">
        <v>85</v>
      </c>
      <c r="AB238">
        <v>19</v>
      </c>
      <c r="AC238" t="s">
        <v>63</v>
      </c>
      <c r="AD238" t="s">
        <v>124</v>
      </c>
      <c r="AE238">
        <v>3.6</v>
      </c>
      <c r="AF238">
        <v>3</v>
      </c>
      <c r="AG238">
        <v>0</v>
      </c>
      <c r="AH238" s="1">
        <v>45021</v>
      </c>
      <c r="AI238">
        <v>4</v>
      </c>
      <c r="AJ238">
        <v>16</v>
      </c>
      <c r="AK238">
        <v>0</v>
      </c>
      <c r="AL238">
        <v>28.7</v>
      </c>
      <c r="AM238" t="s">
        <v>500</v>
      </c>
      <c r="AN238">
        <v>7.7</v>
      </c>
      <c r="AO238" t="s">
        <v>521</v>
      </c>
      <c r="AP238">
        <v>5</v>
      </c>
    </row>
    <row r="239" spans="1:42" x14ac:dyDescent="0.2">
      <c r="A239" t="s">
        <v>406</v>
      </c>
      <c r="B239">
        <v>10020</v>
      </c>
      <c r="C239">
        <v>0</v>
      </c>
      <c r="D239">
        <v>4</v>
      </c>
      <c r="E239">
        <v>1</v>
      </c>
      <c r="F239">
        <v>1</v>
      </c>
      <c r="G239">
        <v>5</v>
      </c>
      <c r="H239">
        <v>4</v>
      </c>
      <c r="I239">
        <v>0</v>
      </c>
      <c r="J239" s="2">
        <v>63353</v>
      </c>
      <c r="K239">
        <v>0</v>
      </c>
      <c r="L239">
        <v>19</v>
      </c>
      <c r="M239" t="s">
        <v>43</v>
      </c>
      <c r="N239" t="s">
        <v>44</v>
      </c>
      <c r="O239">
        <v>1730</v>
      </c>
      <c r="P239" s="1">
        <v>35823</v>
      </c>
      <c r="Q239" t="s">
        <v>45</v>
      </c>
      <c r="R239" t="s">
        <v>84</v>
      </c>
      <c r="S239" t="s">
        <v>47</v>
      </c>
      <c r="T239" t="s">
        <v>48</v>
      </c>
      <c r="U239" t="s">
        <v>49</v>
      </c>
      <c r="V239" s="1">
        <v>44385</v>
      </c>
      <c r="W239" s="1" t="s">
        <v>492</v>
      </c>
      <c r="X239" t="s">
        <v>50</v>
      </c>
      <c r="Y239" t="s">
        <v>51</v>
      </c>
      <c r="Z239" t="s">
        <v>52</v>
      </c>
      <c r="AA239" t="s">
        <v>89</v>
      </c>
      <c r="AB239">
        <v>12</v>
      </c>
      <c r="AC239" t="s">
        <v>86</v>
      </c>
      <c r="AD239" t="s">
        <v>55</v>
      </c>
      <c r="AE239">
        <v>3.6</v>
      </c>
      <c r="AF239">
        <v>5</v>
      </c>
      <c r="AG239">
        <v>0</v>
      </c>
      <c r="AH239" s="1">
        <v>46064</v>
      </c>
      <c r="AI239">
        <v>0</v>
      </c>
      <c r="AJ239">
        <v>4</v>
      </c>
      <c r="AK239">
        <v>1</v>
      </c>
      <c r="AL239">
        <v>28.7</v>
      </c>
      <c r="AM239" t="s">
        <v>500</v>
      </c>
      <c r="AN239">
        <v>5.0999999999999996</v>
      </c>
      <c r="AO239" t="s">
        <v>521</v>
      </c>
      <c r="AP239">
        <v>5</v>
      </c>
    </row>
    <row r="240" spans="1:42" x14ac:dyDescent="0.2">
      <c r="A240" t="s">
        <v>407</v>
      </c>
      <c r="B240">
        <v>10162</v>
      </c>
      <c r="C240">
        <v>1</v>
      </c>
      <c r="D240">
        <v>1</v>
      </c>
      <c r="E240">
        <v>0</v>
      </c>
      <c r="F240">
        <v>1</v>
      </c>
      <c r="G240">
        <v>3</v>
      </c>
      <c r="H240">
        <v>3</v>
      </c>
      <c r="I240">
        <v>0</v>
      </c>
      <c r="J240" s="2">
        <v>89883</v>
      </c>
      <c r="K240">
        <v>0</v>
      </c>
      <c r="L240">
        <v>9</v>
      </c>
      <c r="M240" t="s">
        <v>101</v>
      </c>
      <c r="N240" t="s">
        <v>44</v>
      </c>
      <c r="O240">
        <v>1886</v>
      </c>
      <c r="P240" s="1">
        <v>34618</v>
      </c>
      <c r="Q240" t="s">
        <v>67</v>
      </c>
      <c r="R240" t="s">
        <v>58</v>
      </c>
      <c r="S240" t="s">
        <v>47</v>
      </c>
      <c r="T240" t="s">
        <v>48</v>
      </c>
      <c r="U240" t="s">
        <v>49</v>
      </c>
      <c r="V240" s="1">
        <v>44973</v>
      </c>
      <c r="W240" s="1" t="s">
        <v>492</v>
      </c>
      <c r="X240" t="s">
        <v>50</v>
      </c>
      <c r="Y240" t="s">
        <v>51</v>
      </c>
      <c r="Z240" t="s">
        <v>61</v>
      </c>
      <c r="AA240" t="s">
        <v>62</v>
      </c>
      <c r="AB240">
        <v>4</v>
      </c>
      <c r="AC240" t="s">
        <v>86</v>
      </c>
      <c r="AD240" t="s">
        <v>64</v>
      </c>
      <c r="AE240">
        <v>3.69</v>
      </c>
      <c r="AF240">
        <v>5</v>
      </c>
      <c r="AG240">
        <v>6</v>
      </c>
      <c r="AH240" s="1">
        <v>46067</v>
      </c>
      <c r="AI240">
        <v>0</v>
      </c>
      <c r="AJ240">
        <v>15</v>
      </c>
      <c r="AK240">
        <v>1</v>
      </c>
      <c r="AL240">
        <v>31.8</v>
      </c>
      <c r="AM240" t="s">
        <v>500</v>
      </c>
      <c r="AN240">
        <v>3.6</v>
      </c>
      <c r="AO240" t="s">
        <v>508</v>
      </c>
      <c r="AP240">
        <v>4</v>
      </c>
    </row>
    <row r="241" spans="1:42" x14ac:dyDescent="0.2">
      <c r="A241" t="s">
        <v>408</v>
      </c>
      <c r="B241">
        <v>10149</v>
      </c>
      <c r="C241">
        <v>0</v>
      </c>
      <c r="D241">
        <v>0</v>
      </c>
      <c r="E241">
        <v>0</v>
      </c>
      <c r="F241">
        <v>5</v>
      </c>
      <c r="G241">
        <v>3</v>
      </c>
      <c r="H241">
        <v>3</v>
      </c>
      <c r="I241">
        <v>0</v>
      </c>
      <c r="J241" s="2">
        <v>120000</v>
      </c>
      <c r="K241">
        <v>1</v>
      </c>
      <c r="L241">
        <v>29</v>
      </c>
      <c r="M241" t="s">
        <v>409</v>
      </c>
      <c r="N241" t="s">
        <v>44</v>
      </c>
      <c r="O241">
        <v>2703</v>
      </c>
      <c r="P241" s="1">
        <v>31559</v>
      </c>
      <c r="Q241" t="s">
        <v>67</v>
      </c>
      <c r="R241" t="s">
        <v>46</v>
      </c>
      <c r="S241" t="s">
        <v>47</v>
      </c>
      <c r="T241" t="s">
        <v>95</v>
      </c>
      <c r="U241" t="s">
        <v>49</v>
      </c>
      <c r="V241" s="1">
        <v>44931</v>
      </c>
      <c r="W241" s="1">
        <v>43414</v>
      </c>
      <c r="X241" t="s">
        <v>96</v>
      </c>
      <c r="Y241" t="s">
        <v>60</v>
      </c>
      <c r="Z241" t="s">
        <v>61</v>
      </c>
      <c r="AA241" t="s">
        <v>62</v>
      </c>
      <c r="AB241">
        <v>4</v>
      </c>
      <c r="AC241" t="s">
        <v>54</v>
      </c>
      <c r="AD241" t="s">
        <v>64</v>
      </c>
      <c r="AE241">
        <v>3.88</v>
      </c>
      <c r="AF241">
        <v>3</v>
      </c>
      <c r="AG241">
        <v>7</v>
      </c>
      <c r="AH241" s="1">
        <v>45701</v>
      </c>
      <c r="AI241">
        <v>0</v>
      </c>
      <c r="AJ241">
        <v>12</v>
      </c>
      <c r="AK241">
        <v>0</v>
      </c>
      <c r="AL241">
        <v>40.299999999999997</v>
      </c>
      <c r="AM241" t="s">
        <v>501</v>
      </c>
      <c r="AN241">
        <v>3.7</v>
      </c>
      <c r="AO241" t="s">
        <v>508</v>
      </c>
      <c r="AP241">
        <v>4</v>
      </c>
    </row>
    <row r="242" spans="1:42" x14ac:dyDescent="0.2">
      <c r="A242" t="s">
        <v>410</v>
      </c>
      <c r="B242">
        <v>10086</v>
      </c>
      <c r="C242">
        <v>0</v>
      </c>
      <c r="D242">
        <v>0</v>
      </c>
      <c r="E242">
        <v>0</v>
      </c>
      <c r="F242">
        <v>1</v>
      </c>
      <c r="G242">
        <v>3</v>
      </c>
      <c r="H242">
        <v>3</v>
      </c>
      <c r="I242">
        <v>0</v>
      </c>
      <c r="J242" s="2">
        <v>150290</v>
      </c>
      <c r="K242">
        <v>0</v>
      </c>
      <c r="L242">
        <v>7</v>
      </c>
      <c r="M242" t="s">
        <v>411</v>
      </c>
      <c r="N242" t="s">
        <v>44</v>
      </c>
      <c r="O242">
        <v>2056</v>
      </c>
      <c r="P242" s="1">
        <v>31372</v>
      </c>
      <c r="Q242" t="s">
        <v>67</v>
      </c>
      <c r="R242" t="s">
        <v>46</v>
      </c>
      <c r="S242" t="s">
        <v>47</v>
      </c>
      <c r="T242" t="s">
        <v>48</v>
      </c>
      <c r="U242" t="s">
        <v>88</v>
      </c>
      <c r="V242" s="1">
        <v>45664</v>
      </c>
      <c r="W242" s="1" t="s">
        <v>492</v>
      </c>
      <c r="X242" t="s">
        <v>50</v>
      </c>
      <c r="Y242" t="s">
        <v>51</v>
      </c>
      <c r="Z242" t="s">
        <v>61</v>
      </c>
      <c r="AA242" t="s">
        <v>202</v>
      </c>
      <c r="AB242">
        <v>13</v>
      </c>
      <c r="AC242" t="s">
        <v>63</v>
      </c>
      <c r="AD242" t="s">
        <v>64</v>
      </c>
      <c r="AE242">
        <v>4.9400000000000004</v>
      </c>
      <c r="AF242">
        <v>3</v>
      </c>
      <c r="AG242">
        <v>5</v>
      </c>
      <c r="AH242" s="1">
        <v>46059</v>
      </c>
      <c r="AI242">
        <v>0</v>
      </c>
      <c r="AJ242">
        <v>17</v>
      </c>
      <c r="AK242">
        <v>1</v>
      </c>
      <c r="AL242">
        <v>40.799999999999997</v>
      </c>
      <c r="AM242" t="s">
        <v>501</v>
      </c>
      <c r="AN242">
        <v>1.7</v>
      </c>
      <c r="AO242" t="s">
        <v>506</v>
      </c>
      <c r="AP242">
        <v>2</v>
      </c>
    </row>
    <row r="243" spans="1:42" x14ac:dyDescent="0.2">
      <c r="A243" t="s">
        <v>412</v>
      </c>
      <c r="B243">
        <v>10054</v>
      </c>
      <c r="C243">
        <v>0</v>
      </c>
      <c r="D243">
        <v>3</v>
      </c>
      <c r="E243">
        <v>0</v>
      </c>
      <c r="F243">
        <v>1</v>
      </c>
      <c r="G243">
        <v>5</v>
      </c>
      <c r="H243">
        <v>3</v>
      </c>
      <c r="I243">
        <v>0</v>
      </c>
      <c r="J243" s="2">
        <v>60627</v>
      </c>
      <c r="K243">
        <v>0</v>
      </c>
      <c r="L243">
        <v>19</v>
      </c>
      <c r="M243" t="s">
        <v>43</v>
      </c>
      <c r="N243" t="s">
        <v>44</v>
      </c>
      <c r="O243">
        <v>1886</v>
      </c>
      <c r="P243" s="1">
        <v>32116</v>
      </c>
      <c r="Q243" t="s">
        <v>67</v>
      </c>
      <c r="R243" t="s">
        <v>143</v>
      </c>
      <c r="S243" t="s">
        <v>47</v>
      </c>
      <c r="T243" t="s">
        <v>48</v>
      </c>
      <c r="U243" t="s">
        <v>49</v>
      </c>
      <c r="V243" s="1">
        <v>44567</v>
      </c>
      <c r="W243" s="1" t="s">
        <v>492</v>
      </c>
      <c r="X243" t="s">
        <v>50</v>
      </c>
      <c r="Y243" t="s">
        <v>51</v>
      </c>
      <c r="Z243" t="s">
        <v>52</v>
      </c>
      <c r="AA243" t="s">
        <v>97</v>
      </c>
      <c r="AB243">
        <v>14</v>
      </c>
      <c r="AC243" t="s">
        <v>206</v>
      </c>
      <c r="AD243" t="s">
        <v>64</v>
      </c>
      <c r="AE243">
        <v>5</v>
      </c>
      <c r="AF243">
        <v>4</v>
      </c>
      <c r="AG243">
        <v>0</v>
      </c>
      <c r="AH243" s="1">
        <v>46053</v>
      </c>
      <c r="AI243">
        <v>0</v>
      </c>
      <c r="AJ243">
        <v>8</v>
      </c>
      <c r="AK243">
        <v>1</v>
      </c>
      <c r="AL243">
        <v>38.799999999999997</v>
      </c>
      <c r="AM243" t="s">
        <v>501</v>
      </c>
      <c r="AN243">
        <v>4.7</v>
      </c>
      <c r="AO243" t="s">
        <v>508</v>
      </c>
      <c r="AP243">
        <v>4</v>
      </c>
    </row>
    <row r="244" spans="1:42" x14ac:dyDescent="0.2">
      <c r="A244" t="s">
        <v>413</v>
      </c>
      <c r="B244">
        <v>10065</v>
      </c>
      <c r="C244">
        <v>0</v>
      </c>
      <c r="D244">
        <v>0</v>
      </c>
      <c r="E244">
        <v>1</v>
      </c>
      <c r="F244">
        <v>5</v>
      </c>
      <c r="G244">
        <v>5</v>
      </c>
      <c r="H244">
        <v>3</v>
      </c>
      <c r="I244">
        <v>0</v>
      </c>
      <c r="J244" s="2">
        <v>53180</v>
      </c>
      <c r="K244">
        <v>1</v>
      </c>
      <c r="L244">
        <v>19</v>
      </c>
      <c r="M244" t="s">
        <v>43</v>
      </c>
      <c r="N244" t="s">
        <v>44</v>
      </c>
      <c r="O244">
        <v>2155</v>
      </c>
      <c r="P244" s="1">
        <v>36603</v>
      </c>
      <c r="Q244" t="s">
        <v>45</v>
      </c>
      <c r="R244" t="s">
        <v>46</v>
      </c>
      <c r="S244" t="s">
        <v>47</v>
      </c>
      <c r="T244" t="s">
        <v>48</v>
      </c>
      <c r="U244" t="s">
        <v>49</v>
      </c>
      <c r="V244" s="1">
        <v>43559</v>
      </c>
      <c r="W244" s="1">
        <v>46247</v>
      </c>
      <c r="X244" t="s">
        <v>96</v>
      </c>
      <c r="Y244" t="s">
        <v>60</v>
      </c>
      <c r="Z244" t="s">
        <v>52</v>
      </c>
      <c r="AA244" t="s">
        <v>69</v>
      </c>
      <c r="AB244">
        <v>20</v>
      </c>
      <c r="AC244" t="s">
        <v>76</v>
      </c>
      <c r="AD244" t="s">
        <v>64</v>
      </c>
      <c r="AE244">
        <v>5</v>
      </c>
      <c r="AF244">
        <v>5</v>
      </c>
      <c r="AG244">
        <v>0</v>
      </c>
      <c r="AH244" s="1">
        <v>45840</v>
      </c>
      <c r="AI244">
        <v>0</v>
      </c>
      <c r="AJ244">
        <v>4</v>
      </c>
      <c r="AK244">
        <v>1</v>
      </c>
      <c r="AL244">
        <v>26.5</v>
      </c>
      <c r="AM244" t="s">
        <v>500</v>
      </c>
      <c r="AN244">
        <v>7.4</v>
      </c>
      <c r="AO244" t="s">
        <v>521</v>
      </c>
      <c r="AP244">
        <v>5</v>
      </c>
    </row>
    <row r="245" spans="1:42" x14ac:dyDescent="0.2">
      <c r="A245" t="s">
        <v>414</v>
      </c>
      <c r="B245">
        <v>10198</v>
      </c>
      <c r="C245">
        <v>0</v>
      </c>
      <c r="D245">
        <v>0</v>
      </c>
      <c r="E245">
        <v>1</v>
      </c>
      <c r="F245">
        <v>1</v>
      </c>
      <c r="G245">
        <v>3</v>
      </c>
      <c r="H245">
        <v>3</v>
      </c>
      <c r="I245">
        <v>0</v>
      </c>
      <c r="J245" s="2">
        <v>140920</v>
      </c>
      <c r="K245">
        <v>0</v>
      </c>
      <c r="L245">
        <v>13</v>
      </c>
      <c r="M245" t="s">
        <v>415</v>
      </c>
      <c r="N245" t="s">
        <v>44</v>
      </c>
      <c r="O245">
        <v>2481</v>
      </c>
      <c r="P245" s="1">
        <v>31507</v>
      </c>
      <c r="Q245" t="s">
        <v>45</v>
      </c>
      <c r="R245" t="s">
        <v>46</v>
      </c>
      <c r="S245" t="s">
        <v>47</v>
      </c>
      <c r="T245" t="s">
        <v>48</v>
      </c>
      <c r="U245" t="s">
        <v>49</v>
      </c>
      <c r="V245" s="1">
        <v>44216</v>
      </c>
      <c r="W245" s="1" t="s">
        <v>492</v>
      </c>
      <c r="X245" t="s">
        <v>50</v>
      </c>
      <c r="Y245" t="s">
        <v>51</v>
      </c>
      <c r="Z245" t="s">
        <v>61</v>
      </c>
      <c r="AA245" t="s">
        <v>152</v>
      </c>
      <c r="AB245">
        <v>5</v>
      </c>
      <c r="AC245" t="s">
        <v>63</v>
      </c>
      <c r="AD245" t="s">
        <v>64</v>
      </c>
      <c r="AE245">
        <v>3.6</v>
      </c>
      <c r="AF245">
        <v>5</v>
      </c>
      <c r="AG245">
        <v>7</v>
      </c>
      <c r="AH245" s="1">
        <v>46071</v>
      </c>
      <c r="AI245">
        <v>0</v>
      </c>
      <c r="AJ245">
        <v>13</v>
      </c>
      <c r="AK245">
        <v>1</v>
      </c>
      <c r="AL245">
        <v>40.4</v>
      </c>
      <c r="AM245" t="s">
        <v>501</v>
      </c>
      <c r="AN245">
        <v>5.7</v>
      </c>
      <c r="AO245" t="s">
        <v>521</v>
      </c>
      <c r="AP245">
        <v>5</v>
      </c>
    </row>
    <row r="246" spans="1:42" x14ac:dyDescent="0.2">
      <c r="A246" t="s">
        <v>416</v>
      </c>
      <c r="B246">
        <v>10222</v>
      </c>
      <c r="C246">
        <v>0</v>
      </c>
      <c r="D246">
        <v>2</v>
      </c>
      <c r="E246">
        <v>1</v>
      </c>
      <c r="F246">
        <v>5</v>
      </c>
      <c r="G246">
        <v>3</v>
      </c>
      <c r="H246">
        <v>3</v>
      </c>
      <c r="I246">
        <v>1</v>
      </c>
      <c r="J246" s="2">
        <v>148999</v>
      </c>
      <c r="K246">
        <v>1</v>
      </c>
      <c r="L246">
        <v>13</v>
      </c>
      <c r="M246" t="s">
        <v>415</v>
      </c>
      <c r="N246" t="s">
        <v>44</v>
      </c>
      <c r="O246">
        <v>1915</v>
      </c>
      <c r="P246" s="1">
        <v>28129</v>
      </c>
      <c r="Q246" t="s">
        <v>45</v>
      </c>
      <c r="R246" t="s">
        <v>73</v>
      </c>
      <c r="S246" t="s">
        <v>47</v>
      </c>
      <c r="T246" t="s">
        <v>48</v>
      </c>
      <c r="U246" t="s">
        <v>88</v>
      </c>
      <c r="V246" s="1">
        <v>43839</v>
      </c>
      <c r="W246" s="1">
        <v>45234</v>
      </c>
      <c r="X246" t="s">
        <v>68</v>
      </c>
      <c r="Y246" t="s">
        <v>60</v>
      </c>
      <c r="Z246" t="s">
        <v>61</v>
      </c>
      <c r="AA246" t="s">
        <v>152</v>
      </c>
      <c r="AB246">
        <v>5</v>
      </c>
      <c r="AC246" t="s">
        <v>90</v>
      </c>
      <c r="AD246" t="s">
        <v>64</v>
      </c>
      <c r="AE246">
        <v>4.3</v>
      </c>
      <c r="AF246">
        <v>4</v>
      </c>
      <c r="AG246">
        <v>6</v>
      </c>
      <c r="AH246" s="1">
        <v>44565</v>
      </c>
      <c r="AI246">
        <v>0</v>
      </c>
      <c r="AJ246">
        <v>8</v>
      </c>
      <c r="AK246">
        <v>0</v>
      </c>
      <c r="AL246">
        <v>49.7</v>
      </c>
      <c r="AM246" t="s">
        <v>502</v>
      </c>
      <c r="AN246">
        <v>6.7</v>
      </c>
      <c r="AO246" t="s">
        <v>521</v>
      </c>
      <c r="AP246">
        <v>5</v>
      </c>
    </row>
    <row r="247" spans="1:42" x14ac:dyDescent="0.2">
      <c r="A247" t="s">
        <v>417</v>
      </c>
      <c r="B247">
        <v>10126</v>
      </c>
      <c r="C247">
        <v>1</v>
      </c>
      <c r="D247">
        <v>1</v>
      </c>
      <c r="E247">
        <v>0</v>
      </c>
      <c r="F247">
        <v>1</v>
      </c>
      <c r="G247">
        <v>4</v>
      </c>
      <c r="H247">
        <v>3</v>
      </c>
      <c r="I247">
        <v>0</v>
      </c>
      <c r="J247" s="2">
        <v>86214</v>
      </c>
      <c r="K247">
        <v>0</v>
      </c>
      <c r="L247">
        <v>24</v>
      </c>
      <c r="M247" t="s">
        <v>80</v>
      </c>
      <c r="N247" t="s">
        <v>44</v>
      </c>
      <c r="O247">
        <v>2132</v>
      </c>
      <c r="P247" s="1">
        <v>36365</v>
      </c>
      <c r="Q247" t="s">
        <v>67</v>
      </c>
      <c r="R247" t="s">
        <v>58</v>
      </c>
      <c r="S247" t="s">
        <v>47</v>
      </c>
      <c r="T247" t="s">
        <v>48</v>
      </c>
      <c r="U247" t="s">
        <v>49</v>
      </c>
      <c r="V247" s="1">
        <v>44140</v>
      </c>
      <c r="W247" s="1" t="s">
        <v>492</v>
      </c>
      <c r="X247" t="s">
        <v>50</v>
      </c>
      <c r="Y247" t="s">
        <v>51</v>
      </c>
      <c r="Z247" t="s">
        <v>81</v>
      </c>
      <c r="AA247" t="s">
        <v>82</v>
      </c>
      <c r="AB247">
        <v>10</v>
      </c>
      <c r="AC247" t="s">
        <v>63</v>
      </c>
      <c r="AD247" t="s">
        <v>64</v>
      </c>
      <c r="AE247">
        <v>4.2</v>
      </c>
      <c r="AF247">
        <v>3</v>
      </c>
      <c r="AG247">
        <v>6</v>
      </c>
      <c r="AH247" s="1">
        <v>46066</v>
      </c>
      <c r="AI247">
        <v>0</v>
      </c>
      <c r="AJ247">
        <v>2</v>
      </c>
      <c r="AK247">
        <v>1</v>
      </c>
      <c r="AL247">
        <v>27.1</v>
      </c>
      <c r="AM247" t="s">
        <v>500</v>
      </c>
      <c r="AN247">
        <v>5.8</v>
      </c>
      <c r="AO247" t="s">
        <v>521</v>
      </c>
      <c r="AP247">
        <v>5</v>
      </c>
    </row>
    <row r="248" spans="1:42" x14ac:dyDescent="0.2">
      <c r="A248" t="s">
        <v>418</v>
      </c>
      <c r="B248">
        <v>10295</v>
      </c>
      <c r="C248">
        <v>0</v>
      </c>
      <c r="D248">
        <v>0</v>
      </c>
      <c r="E248">
        <v>0</v>
      </c>
      <c r="F248">
        <v>2</v>
      </c>
      <c r="G248">
        <v>5</v>
      </c>
      <c r="H248">
        <v>2</v>
      </c>
      <c r="I248">
        <v>1</v>
      </c>
      <c r="J248" s="2">
        <v>47750</v>
      </c>
      <c r="K248">
        <v>0</v>
      </c>
      <c r="L248">
        <v>19</v>
      </c>
      <c r="M248" t="s">
        <v>43</v>
      </c>
      <c r="N248" t="s">
        <v>44</v>
      </c>
      <c r="O248">
        <v>1801</v>
      </c>
      <c r="P248" s="1">
        <v>29743</v>
      </c>
      <c r="Q248" t="s">
        <v>67</v>
      </c>
      <c r="R248" t="s">
        <v>46</v>
      </c>
      <c r="S248" t="s">
        <v>47</v>
      </c>
      <c r="T248" t="s">
        <v>48</v>
      </c>
      <c r="U248" t="s">
        <v>88</v>
      </c>
      <c r="V248" s="1">
        <v>45477</v>
      </c>
      <c r="W248" s="1" t="s">
        <v>492</v>
      </c>
      <c r="X248" t="s">
        <v>50</v>
      </c>
      <c r="Y248" t="s">
        <v>51</v>
      </c>
      <c r="Z248" t="s">
        <v>52</v>
      </c>
      <c r="AA248" t="s">
        <v>105</v>
      </c>
      <c r="AB248">
        <v>18</v>
      </c>
      <c r="AC248" t="s">
        <v>90</v>
      </c>
      <c r="AD248" t="s">
        <v>124</v>
      </c>
      <c r="AE248">
        <v>2.6</v>
      </c>
      <c r="AF248">
        <v>4</v>
      </c>
      <c r="AG248">
        <v>0</v>
      </c>
      <c r="AH248" s="1">
        <v>46071</v>
      </c>
      <c r="AI248">
        <v>5</v>
      </c>
      <c r="AJ248">
        <v>4</v>
      </c>
      <c r="AK248">
        <v>1</v>
      </c>
      <c r="AL248">
        <v>45.2</v>
      </c>
      <c r="AM248" t="s">
        <v>502</v>
      </c>
      <c r="AN248">
        <v>2.1</v>
      </c>
      <c r="AO248" t="s">
        <v>507</v>
      </c>
      <c r="AP248">
        <v>3</v>
      </c>
    </row>
    <row r="249" spans="1:42" x14ac:dyDescent="0.2">
      <c r="A249" t="s">
        <v>419</v>
      </c>
      <c r="B249">
        <v>10260</v>
      </c>
      <c r="C249">
        <v>0</v>
      </c>
      <c r="D249">
        <v>0</v>
      </c>
      <c r="E249">
        <v>1</v>
      </c>
      <c r="F249">
        <v>5</v>
      </c>
      <c r="G249">
        <v>5</v>
      </c>
      <c r="H249">
        <v>3</v>
      </c>
      <c r="I249">
        <v>0</v>
      </c>
      <c r="J249" s="2">
        <v>46428</v>
      </c>
      <c r="K249">
        <v>1</v>
      </c>
      <c r="L249">
        <v>19</v>
      </c>
      <c r="M249" t="s">
        <v>43</v>
      </c>
      <c r="N249" t="s">
        <v>44</v>
      </c>
      <c r="O249">
        <v>2148</v>
      </c>
      <c r="P249" s="1">
        <v>32132</v>
      </c>
      <c r="Q249" t="s">
        <v>45</v>
      </c>
      <c r="R249" t="s">
        <v>46</v>
      </c>
      <c r="S249" t="s">
        <v>47</v>
      </c>
      <c r="T249" t="s">
        <v>48</v>
      </c>
      <c r="U249" t="s">
        <v>49</v>
      </c>
      <c r="V249" s="1">
        <v>42740</v>
      </c>
      <c r="W249" s="1">
        <v>46233</v>
      </c>
      <c r="X249" t="s">
        <v>167</v>
      </c>
      <c r="Y249" t="s">
        <v>60</v>
      </c>
      <c r="Z249" t="s">
        <v>52</v>
      </c>
      <c r="AA249" t="s">
        <v>53</v>
      </c>
      <c r="AB249">
        <v>22</v>
      </c>
      <c r="AC249" t="s">
        <v>76</v>
      </c>
      <c r="AD249" t="s">
        <v>64</v>
      </c>
      <c r="AE249">
        <v>4.5999999999999996</v>
      </c>
      <c r="AF249">
        <v>5</v>
      </c>
      <c r="AG249">
        <v>0</v>
      </c>
      <c r="AH249" s="1">
        <v>45693</v>
      </c>
      <c r="AI249">
        <v>0</v>
      </c>
      <c r="AJ249">
        <v>7</v>
      </c>
      <c r="AK249">
        <v>0</v>
      </c>
      <c r="AL249">
        <v>38.799999999999997</v>
      </c>
      <c r="AM249" t="s">
        <v>501</v>
      </c>
      <c r="AN249">
        <v>9.6999999999999993</v>
      </c>
      <c r="AO249" t="s">
        <v>521</v>
      </c>
      <c r="AP249">
        <v>5</v>
      </c>
    </row>
    <row r="250" spans="1:42" x14ac:dyDescent="0.2">
      <c r="A250" t="s">
        <v>420</v>
      </c>
      <c r="B250">
        <v>10233</v>
      </c>
      <c r="C250">
        <v>1</v>
      </c>
      <c r="D250">
        <v>1</v>
      </c>
      <c r="E250">
        <v>1</v>
      </c>
      <c r="F250">
        <v>1</v>
      </c>
      <c r="G250">
        <v>5</v>
      </c>
      <c r="H250">
        <v>3</v>
      </c>
      <c r="I250">
        <v>0</v>
      </c>
      <c r="J250" s="2">
        <v>57975</v>
      </c>
      <c r="K250">
        <v>0</v>
      </c>
      <c r="L250">
        <v>20</v>
      </c>
      <c r="M250" t="s">
        <v>66</v>
      </c>
      <c r="N250" t="s">
        <v>44</v>
      </c>
      <c r="O250">
        <v>2062</v>
      </c>
      <c r="P250" s="1">
        <v>36276</v>
      </c>
      <c r="Q250" t="s">
        <v>45</v>
      </c>
      <c r="R250" t="s">
        <v>58</v>
      </c>
      <c r="S250" t="s">
        <v>47</v>
      </c>
      <c r="T250" t="s">
        <v>48</v>
      </c>
      <c r="U250" t="s">
        <v>49</v>
      </c>
      <c r="V250" s="1">
        <v>43342</v>
      </c>
      <c r="W250" s="1" t="s">
        <v>492</v>
      </c>
      <c r="X250" t="s">
        <v>50</v>
      </c>
      <c r="Y250" t="s">
        <v>51</v>
      </c>
      <c r="Z250" t="s">
        <v>52</v>
      </c>
      <c r="AA250" t="s">
        <v>105</v>
      </c>
      <c r="AB250">
        <v>18</v>
      </c>
      <c r="AC250" t="s">
        <v>123</v>
      </c>
      <c r="AD250" t="s">
        <v>64</v>
      </c>
      <c r="AE250">
        <v>4.0999999999999996</v>
      </c>
      <c r="AF250">
        <v>3</v>
      </c>
      <c r="AG250">
        <v>0</v>
      </c>
      <c r="AH250" s="1">
        <v>46032</v>
      </c>
      <c r="AI250">
        <v>0</v>
      </c>
      <c r="AJ250">
        <v>13</v>
      </c>
      <c r="AK250">
        <v>1</v>
      </c>
      <c r="AL250">
        <v>27.4</v>
      </c>
      <c r="AM250" t="s">
        <v>500</v>
      </c>
      <c r="AN250">
        <v>8</v>
      </c>
      <c r="AO250" t="s">
        <v>521</v>
      </c>
      <c r="AP250">
        <v>5</v>
      </c>
    </row>
    <row r="251" spans="1:42" x14ac:dyDescent="0.2">
      <c r="A251" t="s">
        <v>421</v>
      </c>
      <c r="B251">
        <v>10229</v>
      </c>
      <c r="C251">
        <v>0</v>
      </c>
      <c r="D251">
        <v>2</v>
      </c>
      <c r="E251">
        <v>1</v>
      </c>
      <c r="F251">
        <v>5</v>
      </c>
      <c r="G251">
        <v>3</v>
      </c>
      <c r="H251">
        <v>3</v>
      </c>
      <c r="I251">
        <v>0</v>
      </c>
      <c r="J251" s="2">
        <v>88527</v>
      </c>
      <c r="K251">
        <v>1</v>
      </c>
      <c r="L251">
        <v>9</v>
      </c>
      <c r="M251" t="s">
        <v>422</v>
      </c>
      <c r="N251" t="s">
        <v>44</v>
      </c>
      <c r="O251">
        <v>2452</v>
      </c>
      <c r="P251" s="1">
        <v>36877</v>
      </c>
      <c r="Q251" t="s">
        <v>45</v>
      </c>
      <c r="R251" t="s">
        <v>73</v>
      </c>
      <c r="S251" t="s">
        <v>47</v>
      </c>
      <c r="T251" t="s">
        <v>48</v>
      </c>
      <c r="U251" t="s">
        <v>88</v>
      </c>
      <c r="V251" s="1">
        <v>44931</v>
      </c>
      <c r="W251" s="1">
        <v>45230</v>
      </c>
      <c r="X251" t="s">
        <v>68</v>
      </c>
      <c r="Y251" t="s">
        <v>60</v>
      </c>
      <c r="Z251" t="s">
        <v>61</v>
      </c>
      <c r="AA251" t="s">
        <v>62</v>
      </c>
      <c r="AB251">
        <v>4</v>
      </c>
      <c r="AC251" t="s">
        <v>54</v>
      </c>
      <c r="AD251" t="s">
        <v>64</v>
      </c>
      <c r="AE251">
        <v>4.2</v>
      </c>
      <c r="AF251">
        <v>3</v>
      </c>
      <c r="AG251">
        <v>5</v>
      </c>
      <c r="AH251" s="1">
        <v>44671</v>
      </c>
      <c r="AI251">
        <v>0</v>
      </c>
      <c r="AJ251">
        <v>2</v>
      </c>
      <c r="AK251">
        <v>0</v>
      </c>
      <c r="AL251">
        <v>25.8</v>
      </c>
      <c r="AM251" t="s">
        <v>500</v>
      </c>
      <c r="AN251">
        <v>3.7</v>
      </c>
      <c r="AO251" t="s">
        <v>508</v>
      </c>
      <c r="AP251">
        <v>4</v>
      </c>
    </row>
    <row r="252" spans="1:42" x14ac:dyDescent="0.2">
      <c r="A252" t="s">
        <v>423</v>
      </c>
      <c r="B252">
        <v>10169</v>
      </c>
      <c r="C252">
        <v>1</v>
      </c>
      <c r="D252">
        <v>1</v>
      </c>
      <c r="E252">
        <v>0</v>
      </c>
      <c r="F252">
        <v>1</v>
      </c>
      <c r="G252">
        <v>5</v>
      </c>
      <c r="H252">
        <v>3</v>
      </c>
      <c r="I252">
        <v>0</v>
      </c>
      <c r="J252" s="2">
        <v>56147</v>
      </c>
      <c r="K252">
        <v>0</v>
      </c>
      <c r="L252">
        <v>19</v>
      </c>
      <c r="M252" t="s">
        <v>43</v>
      </c>
      <c r="N252" t="s">
        <v>44</v>
      </c>
      <c r="O252">
        <v>2154</v>
      </c>
      <c r="P252" s="1">
        <v>37082</v>
      </c>
      <c r="Q252" t="s">
        <v>67</v>
      </c>
      <c r="R252" t="s">
        <v>58</v>
      </c>
      <c r="S252" t="s">
        <v>47</v>
      </c>
      <c r="T252" t="s">
        <v>48</v>
      </c>
      <c r="U252" t="s">
        <v>88</v>
      </c>
      <c r="V252" s="1">
        <v>44833</v>
      </c>
      <c r="W252" s="1" t="s">
        <v>492</v>
      </c>
      <c r="X252" t="s">
        <v>50</v>
      </c>
      <c r="Y252" t="s">
        <v>51</v>
      </c>
      <c r="Z252" t="s">
        <v>52</v>
      </c>
      <c r="AA252" t="s">
        <v>71</v>
      </c>
      <c r="AB252">
        <v>16</v>
      </c>
      <c r="AC252" t="s">
        <v>54</v>
      </c>
      <c r="AD252" t="s">
        <v>64</v>
      </c>
      <c r="AE252">
        <v>3.51</v>
      </c>
      <c r="AF252">
        <v>3</v>
      </c>
      <c r="AG252">
        <v>0</v>
      </c>
      <c r="AH252" s="1">
        <v>46071</v>
      </c>
      <c r="AI252">
        <v>0</v>
      </c>
      <c r="AJ252">
        <v>2</v>
      </c>
      <c r="AK252">
        <v>1</v>
      </c>
      <c r="AL252">
        <v>25.1</v>
      </c>
      <c r="AM252" t="s">
        <v>500</v>
      </c>
      <c r="AN252">
        <v>3.8</v>
      </c>
      <c r="AO252" t="s">
        <v>508</v>
      </c>
      <c r="AP252">
        <v>4</v>
      </c>
    </row>
    <row r="253" spans="1:42" x14ac:dyDescent="0.2">
      <c r="A253" t="s">
        <v>424</v>
      </c>
      <c r="B253">
        <v>10071</v>
      </c>
      <c r="C253">
        <v>0</v>
      </c>
      <c r="D253">
        <v>0</v>
      </c>
      <c r="E253">
        <v>0</v>
      </c>
      <c r="F253">
        <v>3</v>
      </c>
      <c r="G253">
        <v>5</v>
      </c>
      <c r="H253">
        <v>3</v>
      </c>
      <c r="I253">
        <v>0</v>
      </c>
      <c r="J253" s="2">
        <v>50923</v>
      </c>
      <c r="K253">
        <v>0</v>
      </c>
      <c r="L253">
        <v>19</v>
      </c>
      <c r="M253" t="s">
        <v>43</v>
      </c>
      <c r="N253" t="s">
        <v>44</v>
      </c>
      <c r="O253">
        <v>2191</v>
      </c>
      <c r="P253" s="1">
        <v>32212</v>
      </c>
      <c r="Q253" t="s">
        <v>67</v>
      </c>
      <c r="R253" t="s">
        <v>46</v>
      </c>
      <c r="S253" t="s">
        <v>47</v>
      </c>
      <c r="T253" t="s">
        <v>48</v>
      </c>
      <c r="U253" t="s">
        <v>118</v>
      </c>
      <c r="V253" s="1">
        <v>44469</v>
      </c>
      <c r="W253" s="1" t="s">
        <v>492</v>
      </c>
      <c r="X253" t="s">
        <v>50</v>
      </c>
      <c r="Y253" t="s">
        <v>51</v>
      </c>
      <c r="Z253" t="s">
        <v>52</v>
      </c>
      <c r="AA253" t="s">
        <v>75</v>
      </c>
      <c r="AC253" t="s">
        <v>76</v>
      </c>
      <c r="AD253" t="s">
        <v>64</v>
      </c>
      <c r="AE253">
        <v>5</v>
      </c>
      <c r="AF253">
        <v>5</v>
      </c>
      <c r="AG253">
        <v>0</v>
      </c>
      <c r="AH253" s="1">
        <v>46059</v>
      </c>
      <c r="AI253">
        <v>0</v>
      </c>
      <c r="AJ253">
        <v>14</v>
      </c>
      <c r="AK253">
        <v>1</v>
      </c>
      <c r="AL253">
        <v>38.5</v>
      </c>
      <c r="AM253" t="s">
        <v>501</v>
      </c>
      <c r="AN253">
        <v>4.8</v>
      </c>
      <c r="AO253" t="s">
        <v>508</v>
      </c>
      <c r="AP253">
        <v>4</v>
      </c>
    </row>
    <row r="254" spans="1:42" x14ac:dyDescent="0.2">
      <c r="A254" t="s">
        <v>425</v>
      </c>
      <c r="B254">
        <v>10179</v>
      </c>
      <c r="C254">
        <v>1</v>
      </c>
      <c r="D254">
        <v>1</v>
      </c>
      <c r="E254">
        <v>0</v>
      </c>
      <c r="F254">
        <v>1</v>
      </c>
      <c r="G254">
        <v>3</v>
      </c>
      <c r="H254">
        <v>3</v>
      </c>
      <c r="I254">
        <v>0</v>
      </c>
      <c r="J254" s="2">
        <v>50750</v>
      </c>
      <c r="K254">
        <v>0</v>
      </c>
      <c r="L254">
        <v>15</v>
      </c>
      <c r="M254" t="s">
        <v>230</v>
      </c>
      <c r="N254" t="s">
        <v>44</v>
      </c>
      <c r="O254">
        <v>1773</v>
      </c>
      <c r="P254" s="1">
        <v>34438</v>
      </c>
      <c r="Q254" t="s">
        <v>67</v>
      </c>
      <c r="R254" t="s">
        <v>58</v>
      </c>
      <c r="S254" t="s">
        <v>47</v>
      </c>
      <c r="T254" t="s">
        <v>48</v>
      </c>
      <c r="U254" t="s">
        <v>49</v>
      </c>
      <c r="V254" s="1">
        <v>44834</v>
      </c>
      <c r="W254" s="1" t="s">
        <v>492</v>
      </c>
      <c r="X254" t="s">
        <v>50</v>
      </c>
      <c r="Y254" t="s">
        <v>51</v>
      </c>
      <c r="Z254" t="s">
        <v>61</v>
      </c>
      <c r="AA254" t="s">
        <v>93</v>
      </c>
      <c r="AB254">
        <v>7</v>
      </c>
      <c r="AC254" t="s">
        <v>54</v>
      </c>
      <c r="AD254" t="s">
        <v>64</v>
      </c>
      <c r="AE254">
        <v>3.31</v>
      </c>
      <c r="AF254">
        <v>3</v>
      </c>
      <c r="AG254">
        <v>6</v>
      </c>
      <c r="AH254" s="1">
        <v>46029</v>
      </c>
      <c r="AI254">
        <v>0</v>
      </c>
      <c r="AJ254">
        <v>7</v>
      </c>
      <c r="AK254">
        <v>1</v>
      </c>
      <c r="AL254">
        <v>32.4</v>
      </c>
      <c r="AM254" t="s">
        <v>500</v>
      </c>
      <c r="AN254">
        <v>3.8</v>
      </c>
      <c r="AO254" t="s">
        <v>508</v>
      </c>
      <c r="AP254">
        <v>4</v>
      </c>
    </row>
    <row r="255" spans="1:42" x14ac:dyDescent="0.2">
      <c r="A255" t="s">
        <v>426</v>
      </c>
      <c r="B255">
        <v>10091</v>
      </c>
      <c r="C255">
        <v>1</v>
      </c>
      <c r="D255">
        <v>1</v>
      </c>
      <c r="E255">
        <v>0</v>
      </c>
      <c r="F255">
        <v>1</v>
      </c>
      <c r="G255">
        <v>5</v>
      </c>
      <c r="H255">
        <v>3</v>
      </c>
      <c r="I255">
        <v>0</v>
      </c>
      <c r="J255" s="2">
        <v>52087</v>
      </c>
      <c r="K255">
        <v>0</v>
      </c>
      <c r="L255">
        <v>19</v>
      </c>
      <c r="M255" t="s">
        <v>43</v>
      </c>
      <c r="N255" t="s">
        <v>44</v>
      </c>
      <c r="O255">
        <v>2149</v>
      </c>
      <c r="P255" s="1">
        <v>36031</v>
      </c>
      <c r="Q255" t="s">
        <v>67</v>
      </c>
      <c r="R255" t="s">
        <v>58</v>
      </c>
      <c r="S255" t="s">
        <v>47</v>
      </c>
      <c r="T255" t="s">
        <v>48</v>
      </c>
      <c r="U255" t="s">
        <v>49</v>
      </c>
      <c r="V255" s="1">
        <v>44427</v>
      </c>
      <c r="W255" s="1" t="s">
        <v>492</v>
      </c>
      <c r="X255" t="s">
        <v>50</v>
      </c>
      <c r="Y255" t="s">
        <v>51</v>
      </c>
      <c r="Z255" t="s">
        <v>52</v>
      </c>
      <c r="AA255" t="s">
        <v>78</v>
      </c>
      <c r="AB255">
        <v>11</v>
      </c>
      <c r="AC255" t="s">
        <v>54</v>
      </c>
      <c r="AD255" t="s">
        <v>64</v>
      </c>
      <c r="AE255">
        <v>4.8099999999999996</v>
      </c>
      <c r="AF255">
        <v>4</v>
      </c>
      <c r="AG255">
        <v>0</v>
      </c>
      <c r="AH255" s="1">
        <v>46068</v>
      </c>
      <c r="AI255">
        <v>0</v>
      </c>
      <c r="AJ255">
        <v>15</v>
      </c>
      <c r="AK255">
        <v>1</v>
      </c>
      <c r="AL255">
        <v>28</v>
      </c>
      <c r="AM255" t="s">
        <v>500</v>
      </c>
      <c r="AN255">
        <v>5</v>
      </c>
      <c r="AO255" t="s">
        <v>508</v>
      </c>
      <c r="AP255">
        <v>4</v>
      </c>
    </row>
    <row r="256" spans="1:42" x14ac:dyDescent="0.2">
      <c r="A256" t="s">
        <v>427</v>
      </c>
      <c r="B256">
        <v>10178</v>
      </c>
      <c r="C256">
        <v>1</v>
      </c>
      <c r="D256">
        <v>1</v>
      </c>
      <c r="E256">
        <v>1</v>
      </c>
      <c r="F256">
        <v>1</v>
      </c>
      <c r="G256">
        <v>3</v>
      </c>
      <c r="H256">
        <v>3</v>
      </c>
      <c r="I256">
        <v>0</v>
      </c>
      <c r="J256" s="2">
        <v>87826</v>
      </c>
      <c r="K256">
        <v>0</v>
      </c>
      <c r="L256">
        <v>9</v>
      </c>
      <c r="M256" t="s">
        <v>101</v>
      </c>
      <c r="N256" t="s">
        <v>44</v>
      </c>
      <c r="O256">
        <v>2110</v>
      </c>
      <c r="P256" s="1">
        <v>30355</v>
      </c>
      <c r="Q256" t="s">
        <v>45</v>
      </c>
      <c r="R256" t="s">
        <v>58</v>
      </c>
      <c r="S256" t="s">
        <v>47</v>
      </c>
      <c r="T256" t="s">
        <v>95</v>
      </c>
      <c r="U256" t="s">
        <v>49</v>
      </c>
      <c r="V256" s="1">
        <v>44931</v>
      </c>
      <c r="W256" s="1" t="s">
        <v>492</v>
      </c>
      <c r="X256" t="s">
        <v>50</v>
      </c>
      <c r="Y256" t="s">
        <v>51</v>
      </c>
      <c r="Z256" t="s">
        <v>61</v>
      </c>
      <c r="AA256" t="s">
        <v>62</v>
      </c>
      <c r="AB256">
        <v>4</v>
      </c>
      <c r="AC256" t="s">
        <v>86</v>
      </c>
      <c r="AD256" t="s">
        <v>64</v>
      </c>
      <c r="AE256">
        <v>3.32</v>
      </c>
      <c r="AF256">
        <v>3</v>
      </c>
      <c r="AG256">
        <v>7</v>
      </c>
      <c r="AH256" s="1">
        <v>46036</v>
      </c>
      <c r="AI256">
        <v>0</v>
      </c>
      <c r="AJ256">
        <v>16</v>
      </c>
      <c r="AK256">
        <v>1</v>
      </c>
      <c r="AL256">
        <v>43.6</v>
      </c>
      <c r="AM256" t="s">
        <v>501</v>
      </c>
      <c r="AN256">
        <v>3.7</v>
      </c>
      <c r="AO256" t="s">
        <v>508</v>
      </c>
      <c r="AP256">
        <v>4</v>
      </c>
    </row>
    <row r="257" spans="1:42" x14ac:dyDescent="0.2">
      <c r="A257" t="s">
        <v>428</v>
      </c>
      <c r="B257">
        <v>10039</v>
      </c>
      <c r="C257">
        <v>0</v>
      </c>
      <c r="D257">
        <v>0</v>
      </c>
      <c r="E257">
        <v>0</v>
      </c>
      <c r="F257">
        <v>1</v>
      </c>
      <c r="G257">
        <v>1</v>
      </c>
      <c r="H257">
        <v>3</v>
      </c>
      <c r="I257">
        <v>0</v>
      </c>
      <c r="J257" s="2">
        <v>51920</v>
      </c>
      <c r="K257">
        <v>0</v>
      </c>
      <c r="L257">
        <v>2</v>
      </c>
      <c r="M257" t="s">
        <v>283</v>
      </c>
      <c r="N257" t="s">
        <v>44</v>
      </c>
      <c r="O257">
        <v>2330</v>
      </c>
      <c r="P257" s="1">
        <v>37030</v>
      </c>
      <c r="Q257" t="s">
        <v>67</v>
      </c>
      <c r="R257" t="s">
        <v>46</v>
      </c>
      <c r="S257" t="s">
        <v>47</v>
      </c>
      <c r="T257" t="s">
        <v>48</v>
      </c>
      <c r="U257" t="s">
        <v>49</v>
      </c>
      <c r="V257" s="1">
        <v>45047</v>
      </c>
      <c r="W257" s="1" t="s">
        <v>492</v>
      </c>
      <c r="X257" t="s">
        <v>50</v>
      </c>
      <c r="Y257" t="s">
        <v>51</v>
      </c>
      <c r="Z257" t="s">
        <v>132</v>
      </c>
      <c r="AA257" t="s">
        <v>133</v>
      </c>
      <c r="AB257">
        <v>1</v>
      </c>
      <c r="AC257" t="s">
        <v>206</v>
      </c>
      <c r="AD257" t="s">
        <v>64</v>
      </c>
      <c r="AE257">
        <v>5</v>
      </c>
      <c r="AF257">
        <v>3</v>
      </c>
      <c r="AG257">
        <v>5</v>
      </c>
      <c r="AH257" s="1">
        <v>46037</v>
      </c>
      <c r="AI257">
        <v>0</v>
      </c>
      <c r="AJ257">
        <v>2</v>
      </c>
      <c r="AK257">
        <v>1</v>
      </c>
      <c r="AL257">
        <v>25.3</v>
      </c>
      <c r="AM257" t="s">
        <v>500</v>
      </c>
      <c r="AN257">
        <v>3.3</v>
      </c>
      <c r="AO257" t="s">
        <v>508</v>
      </c>
      <c r="AP257">
        <v>4</v>
      </c>
    </row>
    <row r="258" spans="1:42" x14ac:dyDescent="0.2">
      <c r="A258" t="s">
        <v>429</v>
      </c>
      <c r="B258">
        <v>10095</v>
      </c>
      <c r="C258">
        <v>0</v>
      </c>
      <c r="D258">
        <v>0</v>
      </c>
      <c r="E258">
        <v>0</v>
      </c>
      <c r="F258">
        <v>5</v>
      </c>
      <c r="G258">
        <v>5</v>
      </c>
      <c r="H258">
        <v>3</v>
      </c>
      <c r="I258">
        <v>0</v>
      </c>
      <c r="J258" s="2">
        <v>63878</v>
      </c>
      <c r="K258">
        <v>1</v>
      </c>
      <c r="L258">
        <v>20</v>
      </c>
      <c r="M258" t="s">
        <v>66</v>
      </c>
      <c r="N258" t="s">
        <v>44</v>
      </c>
      <c r="O258">
        <v>1851</v>
      </c>
      <c r="P258" s="1">
        <v>36855</v>
      </c>
      <c r="Q258" t="s">
        <v>67</v>
      </c>
      <c r="R258" t="s">
        <v>46</v>
      </c>
      <c r="S258" t="s">
        <v>47</v>
      </c>
      <c r="T258" t="s">
        <v>48</v>
      </c>
      <c r="U258" t="s">
        <v>49</v>
      </c>
      <c r="V258" s="1">
        <v>43034</v>
      </c>
      <c r="W258" s="1">
        <v>45024</v>
      </c>
      <c r="X258" t="s">
        <v>300</v>
      </c>
      <c r="Y258" t="s">
        <v>60</v>
      </c>
      <c r="Z258" t="s">
        <v>52</v>
      </c>
      <c r="AA258" t="s">
        <v>53</v>
      </c>
      <c r="AB258">
        <v>22</v>
      </c>
      <c r="AC258" t="s">
        <v>123</v>
      </c>
      <c r="AD258" t="s">
        <v>64</v>
      </c>
      <c r="AE258">
        <v>4.68</v>
      </c>
      <c r="AF258">
        <v>4</v>
      </c>
      <c r="AG258">
        <v>0</v>
      </c>
      <c r="AH258" s="1">
        <v>44653</v>
      </c>
      <c r="AI258">
        <v>0</v>
      </c>
      <c r="AJ258">
        <v>20</v>
      </c>
      <c r="AK258">
        <v>0</v>
      </c>
      <c r="AL258">
        <v>25.8</v>
      </c>
      <c r="AM258" t="s">
        <v>500</v>
      </c>
      <c r="AN258">
        <v>8.8000000000000007</v>
      </c>
      <c r="AO258" t="s">
        <v>521</v>
      </c>
      <c r="AP258">
        <v>5</v>
      </c>
    </row>
    <row r="259" spans="1:42" x14ac:dyDescent="0.2">
      <c r="A259" t="s">
        <v>430</v>
      </c>
      <c r="B259">
        <v>10027</v>
      </c>
      <c r="C259">
        <v>0</v>
      </c>
      <c r="D259">
        <v>0</v>
      </c>
      <c r="E259">
        <v>1</v>
      </c>
      <c r="F259">
        <v>1</v>
      </c>
      <c r="G259">
        <v>5</v>
      </c>
      <c r="H259">
        <v>4</v>
      </c>
      <c r="I259">
        <v>0</v>
      </c>
      <c r="J259" s="2">
        <v>60656</v>
      </c>
      <c r="K259">
        <v>0</v>
      </c>
      <c r="L259">
        <v>20</v>
      </c>
      <c r="M259" t="s">
        <v>66</v>
      </c>
      <c r="N259" t="s">
        <v>44</v>
      </c>
      <c r="O259">
        <v>2045</v>
      </c>
      <c r="P259" s="1">
        <v>28063</v>
      </c>
      <c r="Q259" t="s">
        <v>45</v>
      </c>
      <c r="R259" t="s">
        <v>46</v>
      </c>
      <c r="S259" t="s">
        <v>47</v>
      </c>
      <c r="T259" t="s">
        <v>48</v>
      </c>
      <c r="U259" t="s">
        <v>49</v>
      </c>
      <c r="V259" s="1">
        <v>44833</v>
      </c>
      <c r="W259" s="1" t="s">
        <v>492</v>
      </c>
      <c r="X259" t="s">
        <v>50</v>
      </c>
      <c r="Y259" t="s">
        <v>51</v>
      </c>
      <c r="Z259" t="s">
        <v>52</v>
      </c>
      <c r="AA259" t="s">
        <v>71</v>
      </c>
      <c r="AB259">
        <v>16</v>
      </c>
      <c r="AC259" t="s">
        <v>63</v>
      </c>
      <c r="AD259" t="s">
        <v>55</v>
      </c>
      <c r="AE259">
        <v>4.3</v>
      </c>
      <c r="AF259">
        <v>3</v>
      </c>
      <c r="AG259">
        <v>0</v>
      </c>
      <c r="AH259" s="1">
        <v>46050</v>
      </c>
      <c r="AI259">
        <v>0</v>
      </c>
      <c r="AJ259">
        <v>4</v>
      </c>
      <c r="AK259">
        <v>1</v>
      </c>
      <c r="AL259">
        <v>49.8</v>
      </c>
      <c r="AM259" t="s">
        <v>502</v>
      </c>
      <c r="AN259">
        <v>3.8</v>
      </c>
      <c r="AO259" t="s">
        <v>508</v>
      </c>
      <c r="AP259">
        <v>4</v>
      </c>
    </row>
    <row r="260" spans="1:42" x14ac:dyDescent="0.2">
      <c r="A260" t="s">
        <v>431</v>
      </c>
      <c r="B260">
        <v>10291</v>
      </c>
      <c r="C260">
        <v>0</v>
      </c>
      <c r="D260">
        <v>2</v>
      </c>
      <c r="E260">
        <v>1</v>
      </c>
      <c r="F260">
        <v>1</v>
      </c>
      <c r="G260">
        <v>6</v>
      </c>
      <c r="H260">
        <v>2</v>
      </c>
      <c r="I260">
        <v>1</v>
      </c>
      <c r="J260" s="2">
        <v>72992</v>
      </c>
      <c r="K260">
        <v>0</v>
      </c>
      <c r="L260">
        <v>21</v>
      </c>
      <c r="M260" t="s">
        <v>186</v>
      </c>
      <c r="N260" t="s">
        <v>44</v>
      </c>
      <c r="O260">
        <v>1886</v>
      </c>
      <c r="P260" s="1">
        <v>35658</v>
      </c>
      <c r="Q260" t="s">
        <v>45</v>
      </c>
      <c r="R260" t="s">
        <v>73</v>
      </c>
      <c r="S260" t="s">
        <v>47</v>
      </c>
      <c r="T260" t="s">
        <v>48</v>
      </c>
      <c r="U260" t="s">
        <v>88</v>
      </c>
      <c r="V260" s="1">
        <v>44699</v>
      </c>
      <c r="W260" s="1" t="s">
        <v>492</v>
      </c>
      <c r="X260" t="s">
        <v>50</v>
      </c>
      <c r="Y260" t="s">
        <v>51</v>
      </c>
      <c r="Z260" t="s">
        <v>5</v>
      </c>
      <c r="AA260" t="s">
        <v>187</v>
      </c>
      <c r="AB260">
        <v>15</v>
      </c>
      <c r="AC260" t="s">
        <v>90</v>
      </c>
      <c r="AD260" t="s">
        <v>124</v>
      </c>
      <c r="AE260">
        <v>2.4</v>
      </c>
      <c r="AF260">
        <v>4</v>
      </c>
      <c r="AG260">
        <v>0</v>
      </c>
      <c r="AH260" s="1">
        <v>46038</v>
      </c>
      <c r="AI260">
        <v>2</v>
      </c>
      <c r="AJ260">
        <v>16</v>
      </c>
      <c r="AK260">
        <v>1</v>
      </c>
      <c r="AL260">
        <v>29</v>
      </c>
      <c r="AM260" t="s">
        <v>500</v>
      </c>
      <c r="AN260">
        <v>4.3</v>
      </c>
      <c r="AO260" t="s">
        <v>508</v>
      </c>
      <c r="AP260">
        <v>4</v>
      </c>
    </row>
    <row r="261" spans="1:42" x14ac:dyDescent="0.2">
      <c r="A261" t="s">
        <v>432</v>
      </c>
      <c r="B261">
        <v>10153</v>
      </c>
      <c r="C261">
        <v>1</v>
      </c>
      <c r="D261">
        <v>1</v>
      </c>
      <c r="E261">
        <v>0</v>
      </c>
      <c r="F261">
        <v>5</v>
      </c>
      <c r="G261">
        <v>1</v>
      </c>
      <c r="H261">
        <v>3</v>
      </c>
      <c r="I261">
        <v>1</v>
      </c>
      <c r="J261" s="2">
        <v>55000</v>
      </c>
      <c r="K261">
        <v>1</v>
      </c>
      <c r="L261">
        <v>2</v>
      </c>
      <c r="M261" t="s">
        <v>283</v>
      </c>
      <c r="N261" t="s">
        <v>44</v>
      </c>
      <c r="O261">
        <v>1844</v>
      </c>
      <c r="P261" s="1">
        <v>36691</v>
      </c>
      <c r="Q261" t="s">
        <v>67</v>
      </c>
      <c r="R261" t="s">
        <v>58</v>
      </c>
      <c r="S261" t="s">
        <v>47</v>
      </c>
      <c r="T261" t="s">
        <v>48</v>
      </c>
      <c r="U261" t="s">
        <v>88</v>
      </c>
      <c r="V261" s="1">
        <v>43734</v>
      </c>
      <c r="W261" s="1">
        <v>44464</v>
      </c>
      <c r="X261" t="s">
        <v>59</v>
      </c>
      <c r="Y261" t="s">
        <v>60</v>
      </c>
      <c r="Z261" t="s">
        <v>132</v>
      </c>
      <c r="AA261" t="s">
        <v>133</v>
      </c>
      <c r="AB261">
        <v>1</v>
      </c>
      <c r="AC261" t="s">
        <v>90</v>
      </c>
      <c r="AD261" t="s">
        <v>64</v>
      </c>
      <c r="AE261">
        <v>3.8</v>
      </c>
      <c r="AF261">
        <v>4</v>
      </c>
      <c r="AG261">
        <v>4</v>
      </c>
      <c r="AH261" s="1">
        <v>44058</v>
      </c>
      <c r="AI261">
        <v>0</v>
      </c>
      <c r="AJ261">
        <v>17</v>
      </c>
      <c r="AK261">
        <v>0</v>
      </c>
      <c r="AL261">
        <v>26.2</v>
      </c>
      <c r="AM261" t="s">
        <v>500</v>
      </c>
      <c r="AN261">
        <v>6.8</v>
      </c>
      <c r="AO261" t="s">
        <v>521</v>
      </c>
      <c r="AP261">
        <v>5</v>
      </c>
    </row>
    <row r="262" spans="1:42" x14ac:dyDescent="0.2">
      <c r="A262" t="s">
        <v>433</v>
      </c>
      <c r="B262">
        <v>10157</v>
      </c>
      <c r="C262">
        <v>0</v>
      </c>
      <c r="D262">
        <v>0</v>
      </c>
      <c r="E262">
        <v>0</v>
      </c>
      <c r="F262">
        <v>1</v>
      </c>
      <c r="G262">
        <v>5</v>
      </c>
      <c r="H262">
        <v>3</v>
      </c>
      <c r="I262">
        <v>0</v>
      </c>
      <c r="J262" s="2">
        <v>58939</v>
      </c>
      <c r="K262">
        <v>0</v>
      </c>
      <c r="L262">
        <v>19</v>
      </c>
      <c r="M262" t="s">
        <v>43</v>
      </c>
      <c r="N262" t="s">
        <v>44</v>
      </c>
      <c r="O262">
        <v>2130</v>
      </c>
      <c r="P262" s="1">
        <v>28523</v>
      </c>
      <c r="Q262" t="s">
        <v>67</v>
      </c>
      <c r="R262" t="s">
        <v>46</v>
      </c>
      <c r="S262" t="s">
        <v>47</v>
      </c>
      <c r="T262" t="s">
        <v>48</v>
      </c>
      <c r="U262" t="s">
        <v>49</v>
      </c>
      <c r="V262" s="1">
        <v>44511</v>
      </c>
      <c r="W262" s="1" t="s">
        <v>492</v>
      </c>
      <c r="X262" t="s">
        <v>50</v>
      </c>
      <c r="Y262" t="s">
        <v>51</v>
      </c>
      <c r="Z262" t="s">
        <v>52</v>
      </c>
      <c r="AA262" t="s">
        <v>85</v>
      </c>
      <c r="AB262">
        <v>19</v>
      </c>
      <c r="AC262" t="s">
        <v>86</v>
      </c>
      <c r="AD262" t="s">
        <v>64</v>
      </c>
      <c r="AE262">
        <v>3.73</v>
      </c>
      <c r="AF262">
        <v>3</v>
      </c>
      <c r="AG262">
        <v>0</v>
      </c>
      <c r="AH262" s="1">
        <v>46046</v>
      </c>
      <c r="AI262">
        <v>0</v>
      </c>
      <c r="AJ262">
        <v>16</v>
      </c>
      <c r="AK262">
        <v>1</v>
      </c>
      <c r="AL262">
        <v>48.6</v>
      </c>
      <c r="AM262" t="s">
        <v>502</v>
      </c>
      <c r="AN262">
        <v>4.8</v>
      </c>
      <c r="AO262" t="s">
        <v>508</v>
      </c>
      <c r="AP262">
        <v>4</v>
      </c>
    </row>
    <row r="263" spans="1:42" x14ac:dyDescent="0.2">
      <c r="A263" t="s">
        <v>434</v>
      </c>
      <c r="B263">
        <v>10119</v>
      </c>
      <c r="C263">
        <v>1</v>
      </c>
      <c r="D263">
        <v>1</v>
      </c>
      <c r="E263">
        <v>0</v>
      </c>
      <c r="F263">
        <v>1</v>
      </c>
      <c r="G263">
        <v>3</v>
      </c>
      <c r="H263">
        <v>3</v>
      </c>
      <c r="I263">
        <v>0</v>
      </c>
      <c r="J263" s="2">
        <v>66593</v>
      </c>
      <c r="K263">
        <v>0</v>
      </c>
      <c r="L263">
        <v>14</v>
      </c>
      <c r="M263" t="s">
        <v>92</v>
      </c>
      <c r="N263" t="s">
        <v>44</v>
      </c>
      <c r="O263">
        <v>2360</v>
      </c>
      <c r="P263" s="1">
        <v>31483</v>
      </c>
      <c r="Q263" t="s">
        <v>67</v>
      </c>
      <c r="R263" t="s">
        <v>58</v>
      </c>
      <c r="S263" t="s">
        <v>47</v>
      </c>
      <c r="T263" t="s">
        <v>48</v>
      </c>
      <c r="U263" t="s">
        <v>88</v>
      </c>
      <c r="V263" s="1">
        <v>43626</v>
      </c>
      <c r="W263" s="1" t="s">
        <v>492</v>
      </c>
      <c r="X263" t="s">
        <v>50</v>
      </c>
      <c r="Y263" t="s">
        <v>51</v>
      </c>
      <c r="Z263" t="s">
        <v>61</v>
      </c>
      <c r="AA263" t="s">
        <v>171</v>
      </c>
      <c r="AB263">
        <v>6</v>
      </c>
      <c r="AC263" t="s">
        <v>54</v>
      </c>
      <c r="AD263" t="s">
        <v>64</v>
      </c>
      <c r="AE263">
        <v>4.3</v>
      </c>
      <c r="AF263">
        <v>3</v>
      </c>
      <c r="AG263">
        <v>5</v>
      </c>
      <c r="AH263" s="1">
        <v>46061</v>
      </c>
      <c r="AI263">
        <v>0</v>
      </c>
      <c r="AJ263">
        <v>19</v>
      </c>
      <c r="AK263">
        <v>1</v>
      </c>
      <c r="AL263">
        <v>40.5</v>
      </c>
      <c r="AM263" t="s">
        <v>501</v>
      </c>
      <c r="AN263">
        <v>7.2</v>
      </c>
      <c r="AO263" t="s">
        <v>521</v>
      </c>
      <c r="AP263">
        <v>5</v>
      </c>
    </row>
    <row r="264" spans="1:42" x14ac:dyDescent="0.2">
      <c r="A264" t="s">
        <v>435</v>
      </c>
      <c r="B264">
        <v>10180</v>
      </c>
      <c r="C264">
        <v>1</v>
      </c>
      <c r="D264">
        <v>1</v>
      </c>
      <c r="E264">
        <v>1</v>
      </c>
      <c r="F264">
        <v>2</v>
      </c>
      <c r="G264">
        <v>3</v>
      </c>
      <c r="H264">
        <v>3</v>
      </c>
      <c r="I264">
        <v>0</v>
      </c>
      <c r="J264" s="2">
        <v>87565</v>
      </c>
      <c r="K264">
        <v>0</v>
      </c>
      <c r="L264">
        <v>28</v>
      </c>
      <c r="M264" t="s">
        <v>184</v>
      </c>
      <c r="N264" t="s">
        <v>44</v>
      </c>
      <c r="O264">
        <v>1545</v>
      </c>
      <c r="P264" s="1">
        <v>35104</v>
      </c>
      <c r="Q264" t="s">
        <v>45</v>
      </c>
      <c r="R264" t="s">
        <v>58</v>
      </c>
      <c r="S264" t="s">
        <v>47</v>
      </c>
      <c r="T264" t="s">
        <v>48</v>
      </c>
      <c r="U264" t="s">
        <v>118</v>
      </c>
      <c r="V264" s="1">
        <v>45473</v>
      </c>
      <c r="W264" s="1" t="s">
        <v>492</v>
      </c>
      <c r="X264" t="s">
        <v>50</v>
      </c>
      <c r="Y264" t="s">
        <v>51</v>
      </c>
      <c r="Z264" t="s">
        <v>61</v>
      </c>
      <c r="AA264" t="s">
        <v>93</v>
      </c>
      <c r="AB264">
        <v>7</v>
      </c>
      <c r="AC264" t="s">
        <v>54</v>
      </c>
      <c r="AD264" t="s">
        <v>64</v>
      </c>
      <c r="AE264">
        <v>3.27</v>
      </c>
      <c r="AF264">
        <v>4</v>
      </c>
      <c r="AG264">
        <v>5</v>
      </c>
      <c r="AH264" s="1">
        <v>46036</v>
      </c>
      <c r="AI264">
        <v>0</v>
      </c>
      <c r="AJ264">
        <v>13</v>
      </c>
      <c r="AK264">
        <v>1</v>
      </c>
      <c r="AL264">
        <v>30.6</v>
      </c>
      <c r="AM264" t="s">
        <v>500</v>
      </c>
      <c r="AN264">
        <v>2.2000000000000002</v>
      </c>
      <c r="AO264" t="s">
        <v>507</v>
      </c>
      <c r="AP264">
        <v>3</v>
      </c>
    </row>
    <row r="265" spans="1:42" x14ac:dyDescent="0.2">
      <c r="A265" t="s">
        <v>436</v>
      </c>
      <c r="B265">
        <v>10302</v>
      </c>
      <c r="C265">
        <v>1</v>
      </c>
      <c r="D265">
        <v>1</v>
      </c>
      <c r="E265">
        <v>0</v>
      </c>
      <c r="F265">
        <v>1</v>
      </c>
      <c r="G265">
        <v>5</v>
      </c>
      <c r="H265">
        <v>1</v>
      </c>
      <c r="I265">
        <v>0</v>
      </c>
      <c r="J265" s="2">
        <v>64021</v>
      </c>
      <c r="K265">
        <v>0</v>
      </c>
      <c r="L265">
        <v>19</v>
      </c>
      <c r="M265" t="s">
        <v>43</v>
      </c>
      <c r="N265" t="s">
        <v>44</v>
      </c>
      <c r="O265">
        <v>2093</v>
      </c>
      <c r="P265" s="1">
        <v>29787</v>
      </c>
      <c r="Q265" t="s">
        <v>67</v>
      </c>
      <c r="R265" t="s">
        <v>58</v>
      </c>
      <c r="S265" t="s">
        <v>47</v>
      </c>
      <c r="T265" t="s">
        <v>48</v>
      </c>
      <c r="U265" t="s">
        <v>49</v>
      </c>
      <c r="V265" s="1">
        <v>43881</v>
      </c>
      <c r="W265" s="1" t="s">
        <v>492</v>
      </c>
      <c r="X265" t="s">
        <v>50</v>
      </c>
      <c r="Y265" t="s">
        <v>51</v>
      </c>
      <c r="Z265" t="s">
        <v>52</v>
      </c>
      <c r="AA265" t="s">
        <v>89</v>
      </c>
      <c r="AB265">
        <v>12</v>
      </c>
      <c r="AC265" t="s">
        <v>63</v>
      </c>
      <c r="AD265" t="s">
        <v>196</v>
      </c>
      <c r="AE265">
        <v>2.4</v>
      </c>
      <c r="AF265">
        <v>2</v>
      </c>
      <c r="AG265">
        <v>1</v>
      </c>
      <c r="AH265" s="1">
        <v>46078</v>
      </c>
      <c r="AI265">
        <v>6</v>
      </c>
      <c r="AJ265">
        <v>20</v>
      </c>
      <c r="AK265">
        <v>1</v>
      </c>
      <c r="AL265">
        <v>45.1</v>
      </c>
      <c r="AM265" t="s">
        <v>502</v>
      </c>
      <c r="AN265">
        <v>6.6</v>
      </c>
      <c r="AO265" t="s">
        <v>521</v>
      </c>
      <c r="AP265">
        <v>5</v>
      </c>
    </row>
    <row r="266" spans="1:42" x14ac:dyDescent="0.2">
      <c r="A266" t="s">
        <v>437</v>
      </c>
      <c r="B266">
        <v>10090</v>
      </c>
      <c r="C266">
        <v>1</v>
      </c>
      <c r="D266">
        <v>1</v>
      </c>
      <c r="E266">
        <v>0</v>
      </c>
      <c r="F266">
        <v>1</v>
      </c>
      <c r="G266">
        <v>5</v>
      </c>
      <c r="H266">
        <v>3</v>
      </c>
      <c r="I266">
        <v>0</v>
      </c>
      <c r="J266" s="2">
        <v>65714</v>
      </c>
      <c r="K266">
        <v>0</v>
      </c>
      <c r="L266">
        <v>18</v>
      </c>
      <c r="M266" t="s">
        <v>135</v>
      </c>
      <c r="N266" t="s">
        <v>44</v>
      </c>
      <c r="O266">
        <v>2451</v>
      </c>
      <c r="P266" s="1">
        <v>32416</v>
      </c>
      <c r="Q266" t="s">
        <v>67</v>
      </c>
      <c r="R266" t="s">
        <v>58</v>
      </c>
      <c r="S266" t="s">
        <v>47</v>
      </c>
      <c r="T266" t="s">
        <v>48</v>
      </c>
      <c r="U266" t="s">
        <v>49</v>
      </c>
      <c r="V266" s="1">
        <v>44106</v>
      </c>
      <c r="W266" s="1" t="s">
        <v>492</v>
      </c>
      <c r="X266" t="s">
        <v>50</v>
      </c>
      <c r="Y266" t="s">
        <v>51</v>
      </c>
      <c r="Z266" t="s">
        <v>52</v>
      </c>
      <c r="AA266" t="s">
        <v>137</v>
      </c>
      <c r="AB266">
        <v>2</v>
      </c>
      <c r="AC266" t="s">
        <v>54</v>
      </c>
      <c r="AD266" t="s">
        <v>64</v>
      </c>
      <c r="AE266">
        <v>4.83</v>
      </c>
      <c r="AF266">
        <v>5</v>
      </c>
      <c r="AG266">
        <v>0</v>
      </c>
      <c r="AH266" s="1">
        <v>46067</v>
      </c>
      <c r="AI266">
        <v>0</v>
      </c>
      <c r="AJ266">
        <v>15</v>
      </c>
      <c r="AK266">
        <v>1</v>
      </c>
      <c r="AL266">
        <v>37.799999999999997</v>
      </c>
      <c r="AM266" t="s">
        <v>501</v>
      </c>
      <c r="AN266">
        <v>5.8</v>
      </c>
      <c r="AO266" t="s">
        <v>521</v>
      </c>
      <c r="AP266">
        <v>5</v>
      </c>
    </row>
    <row r="267" spans="1:42" x14ac:dyDescent="0.2">
      <c r="A267" t="s">
        <v>438</v>
      </c>
      <c r="B267">
        <v>10030</v>
      </c>
      <c r="C267">
        <v>0</v>
      </c>
      <c r="D267">
        <v>2</v>
      </c>
      <c r="E267">
        <v>0</v>
      </c>
      <c r="F267">
        <v>5</v>
      </c>
      <c r="G267">
        <v>5</v>
      </c>
      <c r="H267">
        <v>4</v>
      </c>
      <c r="I267">
        <v>0</v>
      </c>
      <c r="J267" s="2">
        <v>62425</v>
      </c>
      <c r="K267">
        <v>1</v>
      </c>
      <c r="L267">
        <v>19</v>
      </c>
      <c r="M267" t="s">
        <v>43</v>
      </c>
      <c r="N267" t="s">
        <v>44</v>
      </c>
      <c r="O267">
        <v>2359</v>
      </c>
      <c r="P267" s="1">
        <v>31497</v>
      </c>
      <c r="Q267" t="s">
        <v>67</v>
      </c>
      <c r="R267" t="s">
        <v>73</v>
      </c>
      <c r="S267" t="s">
        <v>47</v>
      </c>
      <c r="T267" t="s">
        <v>48</v>
      </c>
      <c r="U267" t="s">
        <v>49</v>
      </c>
      <c r="V267" s="1">
        <v>44329</v>
      </c>
      <c r="W267" s="1">
        <v>45106</v>
      </c>
      <c r="X267" t="s">
        <v>99</v>
      </c>
      <c r="Y267" t="s">
        <v>60</v>
      </c>
      <c r="Z267" t="s">
        <v>52</v>
      </c>
      <c r="AA267" t="s">
        <v>97</v>
      </c>
      <c r="AB267">
        <v>14</v>
      </c>
      <c r="AC267" t="s">
        <v>54</v>
      </c>
      <c r="AD267" t="s">
        <v>55</v>
      </c>
      <c r="AE267">
        <v>4.0999999999999996</v>
      </c>
      <c r="AF267">
        <v>4</v>
      </c>
      <c r="AG267">
        <v>0</v>
      </c>
      <c r="AH267" s="1">
        <v>44622</v>
      </c>
      <c r="AI267">
        <v>0</v>
      </c>
      <c r="AJ267">
        <v>16</v>
      </c>
      <c r="AK267">
        <v>0</v>
      </c>
      <c r="AL267">
        <v>40.5</v>
      </c>
      <c r="AM267" t="s">
        <v>501</v>
      </c>
      <c r="AN267">
        <v>5.3</v>
      </c>
      <c r="AO267" t="s">
        <v>521</v>
      </c>
      <c r="AP267">
        <v>5</v>
      </c>
    </row>
    <row r="268" spans="1:42" x14ac:dyDescent="0.2">
      <c r="A268" t="s">
        <v>439</v>
      </c>
      <c r="B268">
        <v>10278</v>
      </c>
      <c r="C268">
        <v>0</v>
      </c>
      <c r="D268">
        <v>2</v>
      </c>
      <c r="E268">
        <v>0</v>
      </c>
      <c r="F268">
        <v>1</v>
      </c>
      <c r="G268">
        <v>5</v>
      </c>
      <c r="H268">
        <v>3</v>
      </c>
      <c r="I268">
        <v>0</v>
      </c>
      <c r="J268" s="2">
        <v>47961</v>
      </c>
      <c r="K268">
        <v>0</v>
      </c>
      <c r="L268">
        <v>19</v>
      </c>
      <c r="M268" t="s">
        <v>43</v>
      </c>
      <c r="N268" t="s">
        <v>44</v>
      </c>
      <c r="O268">
        <v>2050</v>
      </c>
      <c r="P268" s="1">
        <v>34936</v>
      </c>
      <c r="Q268" t="s">
        <v>67</v>
      </c>
      <c r="R268" t="s">
        <v>73</v>
      </c>
      <c r="S268" t="s">
        <v>47</v>
      </c>
      <c r="T268" t="s">
        <v>48</v>
      </c>
      <c r="U268" t="s">
        <v>104</v>
      </c>
      <c r="V268" s="1">
        <v>43475</v>
      </c>
      <c r="W268" s="1" t="s">
        <v>492</v>
      </c>
      <c r="X268" t="s">
        <v>50</v>
      </c>
      <c r="Y268" t="s">
        <v>51</v>
      </c>
      <c r="Z268" t="s">
        <v>52</v>
      </c>
      <c r="AA268" t="s">
        <v>69</v>
      </c>
      <c r="AB268">
        <v>20</v>
      </c>
      <c r="AC268" t="s">
        <v>76</v>
      </c>
      <c r="AD268" t="s">
        <v>64</v>
      </c>
      <c r="AE268">
        <v>4.0999999999999996</v>
      </c>
      <c r="AF268">
        <v>4</v>
      </c>
      <c r="AG268">
        <v>0</v>
      </c>
      <c r="AH268" s="1">
        <v>46060</v>
      </c>
      <c r="AI268">
        <v>0</v>
      </c>
      <c r="AJ268">
        <v>9</v>
      </c>
      <c r="AK268">
        <v>1</v>
      </c>
      <c r="AL268">
        <v>31</v>
      </c>
      <c r="AM268" t="s">
        <v>500</v>
      </c>
      <c r="AN268">
        <v>7.7</v>
      </c>
      <c r="AO268" t="s">
        <v>521</v>
      </c>
      <c r="AP268">
        <v>5</v>
      </c>
    </row>
    <row r="269" spans="1:42" x14ac:dyDescent="0.2">
      <c r="A269" t="s">
        <v>440</v>
      </c>
      <c r="B269">
        <v>10307</v>
      </c>
      <c r="C269">
        <v>1</v>
      </c>
      <c r="D269">
        <v>1</v>
      </c>
      <c r="E269">
        <v>1</v>
      </c>
      <c r="F269">
        <v>1</v>
      </c>
      <c r="G269">
        <v>6</v>
      </c>
      <c r="H269">
        <v>1</v>
      </c>
      <c r="I269">
        <v>0</v>
      </c>
      <c r="J269" s="2">
        <v>58273</v>
      </c>
      <c r="K269">
        <v>0</v>
      </c>
      <c r="L269">
        <v>3</v>
      </c>
      <c r="M269" t="s">
        <v>145</v>
      </c>
      <c r="N269" t="s">
        <v>441</v>
      </c>
      <c r="O269">
        <v>89139</v>
      </c>
      <c r="P269" s="1">
        <v>31906</v>
      </c>
      <c r="Q269" t="s">
        <v>45</v>
      </c>
      <c r="R269" t="s">
        <v>58</v>
      </c>
      <c r="S269" t="s">
        <v>47</v>
      </c>
      <c r="T269" t="s">
        <v>48</v>
      </c>
      <c r="U269" t="s">
        <v>49</v>
      </c>
      <c r="V269" s="1">
        <v>44693</v>
      </c>
      <c r="W269" s="1" t="s">
        <v>492</v>
      </c>
      <c r="X269" t="s">
        <v>50</v>
      </c>
      <c r="Y269" t="s">
        <v>51</v>
      </c>
      <c r="Z269" t="s">
        <v>5</v>
      </c>
      <c r="AA269" t="s">
        <v>165</v>
      </c>
      <c r="AB269">
        <v>21</v>
      </c>
      <c r="AC269" t="s">
        <v>206</v>
      </c>
      <c r="AD269" t="s">
        <v>196</v>
      </c>
      <c r="AE269">
        <v>1.81</v>
      </c>
      <c r="AF269">
        <v>2</v>
      </c>
      <c r="AG269">
        <v>0</v>
      </c>
      <c r="AH269" s="1">
        <v>46039</v>
      </c>
      <c r="AI269">
        <v>3</v>
      </c>
      <c r="AJ269">
        <v>5</v>
      </c>
      <c r="AK269">
        <v>1</v>
      </c>
      <c r="AL269">
        <v>39.299999999999997</v>
      </c>
      <c r="AM269" t="s">
        <v>501</v>
      </c>
      <c r="AN269">
        <v>4.3</v>
      </c>
      <c r="AO269" t="s">
        <v>508</v>
      </c>
      <c r="AP269">
        <v>4</v>
      </c>
    </row>
    <row r="270" spans="1:42" x14ac:dyDescent="0.2">
      <c r="A270" t="s">
        <v>442</v>
      </c>
      <c r="B270">
        <v>10147</v>
      </c>
      <c r="C270">
        <v>0</v>
      </c>
      <c r="D270">
        <v>0</v>
      </c>
      <c r="E270">
        <v>1</v>
      </c>
      <c r="F270">
        <v>1</v>
      </c>
      <c r="G270">
        <v>1</v>
      </c>
      <c r="H270">
        <v>3</v>
      </c>
      <c r="I270">
        <v>0</v>
      </c>
      <c r="J270" s="2">
        <v>63003</v>
      </c>
      <c r="K270">
        <v>0</v>
      </c>
      <c r="L270">
        <v>1</v>
      </c>
      <c r="M270" t="s">
        <v>140</v>
      </c>
      <c r="N270" t="s">
        <v>44</v>
      </c>
      <c r="O270">
        <v>2703</v>
      </c>
      <c r="P270" s="1">
        <v>36404</v>
      </c>
      <c r="Q270" t="s">
        <v>45</v>
      </c>
      <c r="R270" t="s">
        <v>46</v>
      </c>
      <c r="S270" t="s">
        <v>47</v>
      </c>
      <c r="T270" t="s">
        <v>48</v>
      </c>
      <c r="U270" t="s">
        <v>49</v>
      </c>
      <c r="V270" s="1">
        <v>44833</v>
      </c>
      <c r="W270" s="1" t="s">
        <v>492</v>
      </c>
      <c r="X270" t="s">
        <v>50</v>
      </c>
      <c r="Y270" t="s">
        <v>51</v>
      </c>
      <c r="Z270" t="s">
        <v>132</v>
      </c>
      <c r="AA270" t="s">
        <v>133</v>
      </c>
      <c r="AB270">
        <v>1</v>
      </c>
      <c r="AC270" t="s">
        <v>63</v>
      </c>
      <c r="AD270" t="s">
        <v>64</v>
      </c>
      <c r="AE270">
        <v>3.9</v>
      </c>
      <c r="AF270">
        <v>5</v>
      </c>
      <c r="AG270">
        <v>5</v>
      </c>
      <c r="AH270" s="1">
        <v>46040</v>
      </c>
      <c r="AI270">
        <v>0</v>
      </c>
      <c r="AJ270">
        <v>9</v>
      </c>
      <c r="AK270">
        <v>1</v>
      </c>
      <c r="AL270">
        <v>26.8</v>
      </c>
      <c r="AM270" t="s">
        <v>500</v>
      </c>
      <c r="AN270">
        <v>3.8</v>
      </c>
      <c r="AO270" t="s">
        <v>508</v>
      </c>
      <c r="AP270">
        <v>4</v>
      </c>
    </row>
    <row r="271" spans="1:42" x14ac:dyDescent="0.2">
      <c r="A271" t="s">
        <v>443</v>
      </c>
      <c r="B271">
        <v>10266</v>
      </c>
      <c r="C271">
        <v>1</v>
      </c>
      <c r="D271">
        <v>1</v>
      </c>
      <c r="E271">
        <v>1</v>
      </c>
      <c r="F271">
        <v>1</v>
      </c>
      <c r="G271">
        <v>5</v>
      </c>
      <c r="H271">
        <v>3</v>
      </c>
      <c r="I271">
        <v>0</v>
      </c>
      <c r="J271" s="2">
        <v>61355</v>
      </c>
      <c r="K271">
        <v>0</v>
      </c>
      <c r="L271">
        <v>19</v>
      </c>
      <c r="M271" t="s">
        <v>43</v>
      </c>
      <c r="N271" t="s">
        <v>44</v>
      </c>
      <c r="O271">
        <v>2301</v>
      </c>
      <c r="P271" s="1">
        <v>35868</v>
      </c>
      <c r="Q271" t="s">
        <v>45</v>
      </c>
      <c r="R271" t="s">
        <v>58</v>
      </c>
      <c r="S271" t="s">
        <v>47</v>
      </c>
      <c r="T271" t="s">
        <v>48</v>
      </c>
      <c r="U271" t="s">
        <v>118</v>
      </c>
      <c r="V271" s="1">
        <v>44609</v>
      </c>
      <c r="W271" s="1" t="s">
        <v>492</v>
      </c>
      <c r="X271" t="s">
        <v>50</v>
      </c>
      <c r="Y271" t="s">
        <v>51</v>
      </c>
      <c r="Z271" t="s">
        <v>52</v>
      </c>
      <c r="AA271" t="s">
        <v>105</v>
      </c>
      <c r="AB271">
        <v>18</v>
      </c>
      <c r="AC271" t="s">
        <v>54</v>
      </c>
      <c r="AD271" t="s">
        <v>64</v>
      </c>
      <c r="AE271">
        <v>4.7</v>
      </c>
      <c r="AF271">
        <v>3</v>
      </c>
      <c r="AG271">
        <v>0</v>
      </c>
      <c r="AH271" s="1">
        <v>46033</v>
      </c>
      <c r="AI271">
        <v>0</v>
      </c>
      <c r="AJ271">
        <v>4</v>
      </c>
      <c r="AK271">
        <v>1</v>
      </c>
      <c r="AL271">
        <v>28.5</v>
      </c>
      <c r="AM271" t="s">
        <v>500</v>
      </c>
      <c r="AN271">
        <v>4.5999999999999996</v>
      </c>
      <c r="AO271" t="s">
        <v>508</v>
      </c>
      <c r="AP271">
        <v>4</v>
      </c>
    </row>
    <row r="272" spans="1:42" x14ac:dyDescent="0.2">
      <c r="A272" t="s">
        <v>444</v>
      </c>
      <c r="B272">
        <v>10241</v>
      </c>
      <c r="C272">
        <v>1</v>
      </c>
      <c r="D272">
        <v>1</v>
      </c>
      <c r="E272">
        <v>0</v>
      </c>
      <c r="F272">
        <v>1</v>
      </c>
      <c r="G272">
        <v>6</v>
      </c>
      <c r="H272">
        <v>3</v>
      </c>
      <c r="I272">
        <v>0</v>
      </c>
      <c r="J272" s="2">
        <v>60120</v>
      </c>
      <c r="K272">
        <v>0</v>
      </c>
      <c r="L272">
        <v>3</v>
      </c>
      <c r="M272" t="s">
        <v>145</v>
      </c>
      <c r="N272" t="s">
        <v>445</v>
      </c>
      <c r="O272">
        <v>59102</v>
      </c>
      <c r="P272" s="1">
        <v>37388</v>
      </c>
      <c r="Q272" t="s">
        <v>67</v>
      </c>
      <c r="R272" t="s">
        <v>58</v>
      </c>
      <c r="S272" t="s">
        <v>47</v>
      </c>
      <c r="T272" t="s">
        <v>48</v>
      </c>
      <c r="U272" t="s">
        <v>88</v>
      </c>
      <c r="V272" s="1">
        <v>43370</v>
      </c>
      <c r="W272" s="1" t="s">
        <v>492</v>
      </c>
      <c r="X272" t="s">
        <v>50</v>
      </c>
      <c r="Y272" t="s">
        <v>51</v>
      </c>
      <c r="Z272" t="s">
        <v>5</v>
      </c>
      <c r="AA272" t="s">
        <v>147</v>
      </c>
      <c r="AB272">
        <v>17</v>
      </c>
      <c r="AC272" t="s">
        <v>63</v>
      </c>
      <c r="AD272" t="s">
        <v>64</v>
      </c>
      <c r="AE272">
        <v>4.0999999999999996</v>
      </c>
      <c r="AF272">
        <v>4</v>
      </c>
      <c r="AG272">
        <v>0</v>
      </c>
      <c r="AH272" s="1">
        <v>46053</v>
      </c>
      <c r="AI272">
        <v>0</v>
      </c>
      <c r="AJ272">
        <v>18</v>
      </c>
      <c r="AK272">
        <v>1</v>
      </c>
      <c r="AL272">
        <v>24.3</v>
      </c>
      <c r="AM272" t="s">
        <v>499</v>
      </c>
      <c r="AN272">
        <v>7.8</v>
      </c>
      <c r="AO272" t="s">
        <v>521</v>
      </c>
      <c r="AP272">
        <v>5</v>
      </c>
    </row>
    <row r="273" spans="1:42" x14ac:dyDescent="0.2">
      <c r="A273" t="s">
        <v>446</v>
      </c>
      <c r="B273">
        <v>10158</v>
      </c>
      <c r="C273">
        <v>1</v>
      </c>
      <c r="D273">
        <v>1</v>
      </c>
      <c r="E273">
        <v>0</v>
      </c>
      <c r="F273">
        <v>1</v>
      </c>
      <c r="G273">
        <v>5</v>
      </c>
      <c r="H273">
        <v>3</v>
      </c>
      <c r="I273">
        <v>0</v>
      </c>
      <c r="J273" s="2">
        <v>63682</v>
      </c>
      <c r="K273">
        <v>0</v>
      </c>
      <c r="L273">
        <v>18</v>
      </c>
      <c r="M273" t="s">
        <v>135</v>
      </c>
      <c r="N273" t="s">
        <v>44</v>
      </c>
      <c r="O273">
        <v>1776</v>
      </c>
      <c r="P273" s="1">
        <v>33325</v>
      </c>
      <c r="Q273" t="s">
        <v>67</v>
      </c>
      <c r="R273" t="s">
        <v>58</v>
      </c>
      <c r="S273" t="s">
        <v>47</v>
      </c>
      <c r="T273" t="s">
        <v>48</v>
      </c>
      <c r="U273" t="s">
        <v>88</v>
      </c>
      <c r="V273" s="1">
        <v>42743</v>
      </c>
      <c r="W273" s="1" t="s">
        <v>492</v>
      </c>
      <c r="X273" t="s">
        <v>50</v>
      </c>
      <c r="Y273" t="s">
        <v>51</v>
      </c>
      <c r="Z273" t="s">
        <v>52</v>
      </c>
      <c r="AA273" t="s">
        <v>137</v>
      </c>
      <c r="AB273">
        <v>2</v>
      </c>
      <c r="AC273" t="s">
        <v>63</v>
      </c>
      <c r="AD273" t="s">
        <v>64</v>
      </c>
      <c r="AE273">
        <v>3.73</v>
      </c>
      <c r="AF273">
        <v>4</v>
      </c>
      <c r="AG273">
        <v>0</v>
      </c>
      <c r="AH273" s="1">
        <v>46046</v>
      </c>
      <c r="AI273">
        <v>0</v>
      </c>
      <c r="AJ273">
        <v>12</v>
      </c>
      <c r="AK273">
        <v>1</v>
      </c>
      <c r="AL273">
        <v>35.5</v>
      </c>
      <c r="AM273" t="s">
        <v>501</v>
      </c>
      <c r="AN273">
        <v>9.6999999999999993</v>
      </c>
      <c r="AO273" t="s">
        <v>521</v>
      </c>
      <c r="AP273">
        <v>5</v>
      </c>
    </row>
    <row r="274" spans="1:42" x14ac:dyDescent="0.2">
      <c r="A274" t="s">
        <v>447</v>
      </c>
      <c r="B274">
        <v>10117</v>
      </c>
      <c r="C274">
        <v>1</v>
      </c>
      <c r="D274">
        <v>1</v>
      </c>
      <c r="E274">
        <v>1</v>
      </c>
      <c r="F274">
        <v>1</v>
      </c>
      <c r="G274">
        <v>5</v>
      </c>
      <c r="H274">
        <v>3</v>
      </c>
      <c r="I274">
        <v>0</v>
      </c>
      <c r="J274" s="2">
        <v>63025</v>
      </c>
      <c r="K274">
        <v>0</v>
      </c>
      <c r="L274">
        <v>19</v>
      </c>
      <c r="M274" t="s">
        <v>43</v>
      </c>
      <c r="N274" t="s">
        <v>44</v>
      </c>
      <c r="O274">
        <v>2747</v>
      </c>
      <c r="P274" s="1">
        <v>34979</v>
      </c>
      <c r="Q274" t="s">
        <v>45</v>
      </c>
      <c r="R274" t="s">
        <v>58</v>
      </c>
      <c r="S274" t="s">
        <v>47</v>
      </c>
      <c r="T274" t="s">
        <v>95</v>
      </c>
      <c r="U274" t="s">
        <v>49</v>
      </c>
      <c r="V274" s="1">
        <v>44931</v>
      </c>
      <c r="W274" s="1" t="s">
        <v>492</v>
      </c>
      <c r="X274" t="s">
        <v>50</v>
      </c>
      <c r="Y274" t="s">
        <v>51</v>
      </c>
      <c r="Z274" t="s">
        <v>52</v>
      </c>
      <c r="AA274" t="s">
        <v>53</v>
      </c>
      <c r="AB274">
        <v>22</v>
      </c>
      <c r="AC274" t="s">
        <v>76</v>
      </c>
      <c r="AD274" t="s">
        <v>64</v>
      </c>
      <c r="AE274">
        <v>4.3600000000000003</v>
      </c>
      <c r="AF274">
        <v>5</v>
      </c>
      <c r="AG274">
        <v>0</v>
      </c>
      <c r="AH274" s="1">
        <v>46046</v>
      </c>
      <c r="AI274">
        <v>0</v>
      </c>
      <c r="AJ274">
        <v>10</v>
      </c>
      <c r="AK274">
        <v>1</v>
      </c>
      <c r="AL274">
        <v>30.8</v>
      </c>
      <c r="AM274" t="s">
        <v>500</v>
      </c>
      <c r="AN274">
        <v>3.7</v>
      </c>
      <c r="AO274" t="s">
        <v>508</v>
      </c>
      <c r="AP274">
        <v>4</v>
      </c>
    </row>
    <row r="275" spans="1:42" x14ac:dyDescent="0.2">
      <c r="A275" t="s">
        <v>448</v>
      </c>
      <c r="B275">
        <v>10209</v>
      </c>
      <c r="C275">
        <v>0</v>
      </c>
      <c r="D275">
        <v>0</v>
      </c>
      <c r="E275">
        <v>0</v>
      </c>
      <c r="F275">
        <v>1</v>
      </c>
      <c r="G275">
        <v>5</v>
      </c>
      <c r="H275">
        <v>3</v>
      </c>
      <c r="I275">
        <v>0</v>
      </c>
      <c r="J275" s="2">
        <v>59238</v>
      </c>
      <c r="K275">
        <v>0</v>
      </c>
      <c r="L275">
        <v>19</v>
      </c>
      <c r="M275" t="s">
        <v>43</v>
      </c>
      <c r="N275" t="s">
        <v>44</v>
      </c>
      <c r="O275">
        <v>2718</v>
      </c>
      <c r="P275" s="1">
        <v>29813</v>
      </c>
      <c r="Q275" t="s">
        <v>67</v>
      </c>
      <c r="R275" t="s">
        <v>46</v>
      </c>
      <c r="S275" t="s">
        <v>113</v>
      </c>
      <c r="T275" t="s">
        <v>48</v>
      </c>
      <c r="U275" t="s">
        <v>118</v>
      </c>
      <c r="V275" s="1">
        <v>43965</v>
      </c>
      <c r="W275" s="1" t="s">
        <v>492</v>
      </c>
      <c r="X275" t="s">
        <v>50</v>
      </c>
      <c r="Y275" t="s">
        <v>51</v>
      </c>
      <c r="Z275" t="s">
        <v>52</v>
      </c>
      <c r="AA275" t="s">
        <v>71</v>
      </c>
      <c r="AB275">
        <v>16</v>
      </c>
      <c r="AC275" t="s">
        <v>63</v>
      </c>
      <c r="AD275" t="s">
        <v>64</v>
      </c>
      <c r="AE275">
        <v>3.4</v>
      </c>
      <c r="AF275">
        <v>5</v>
      </c>
      <c r="AG275">
        <v>0</v>
      </c>
      <c r="AH275" s="1">
        <v>46053</v>
      </c>
      <c r="AI275">
        <v>0</v>
      </c>
      <c r="AJ275">
        <v>13</v>
      </c>
      <c r="AK275">
        <v>1</v>
      </c>
      <c r="AL275">
        <v>45</v>
      </c>
      <c r="AM275" t="s">
        <v>502</v>
      </c>
      <c r="AN275">
        <v>6.3</v>
      </c>
      <c r="AO275" t="s">
        <v>521</v>
      </c>
      <c r="AP275">
        <v>5</v>
      </c>
    </row>
    <row r="276" spans="1:42" x14ac:dyDescent="0.2">
      <c r="A276" t="s">
        <v>449</v>
      </c>
      <c r="B276">
        <v>10024</v>
      </c>
      <c r="C276">
        <v>0</v>
      </c>
      <c r="D276">
        <v>0</v>
      </c>
      <c r="E276">
        <v>1</v>
      </c>
      <c r="F276">
        <v>1</v>
      </c>
      <c r="G276">
        <v>4</v>
      </c>
      <c r="H276">
        <v>4</v>
      </c>
      <c r="I276">
        <v>0</v>
      </c>
      <c r="J276" s="2">
        <v>92989</v>
      </c>
      <c r="K276">
        <v>0</v>
      </c>
      <c r="L276">
        <v>24</v>
      </c>
      <c r="M276" t="s">
        <v>80</v>
      </c>
      <c r="N276" t="s">
        <v>44</v>
      </c>
      <c r="O276">
        <v>2140</v>
      </c>
      <c r="P276" s="1">
        <v>35191</v>
      </c>
      <c r="Q276" t="s">
        <v>45</v>
      </c>
      <c r="R276" t="s">
        <v>46</v>
      </c>
      <c r="S276" t="s">
        <v>47</v>
      </c>
      <c r="T276" t="s">
        <v>48</v>
      </c>
      <c r="U276" t="s">
        <v>49</v>
      </c>
      <c r="V276" s="1">
        <v>44749</v>
      </c>
      <c r="W276" s="1" t="s">
        <v>492</v>
      </c>
      <c r="X276" t="s">
        <v>50</v>
      </c>
      <c r="Y276" t="s">
        <v>51</v>
      </c>
      <c r="Z276" t="s">
        <v>81</v>
      </c>
      <c r="AA276" t="s">
        <v>82</v>
      </c>
      <c r="AB276">
        <v>10</v>
      </c>
      <c r="AC276" t="s">
        <v>54</v>
      </c>
      <c r="AD276" t="s">
        <v>55</v>
      </c>
      <c r="AE276">
        <v>4.5</v>
      </c>
      <c r="AF276">
        <v>5</v>
      </c>
      <c r="AG276">
        <v>5</v>
      </c>
      <c r="AH276" s="1">
        <v>46071</v>
      </c>
      <c r="AI276">
        <v>0</v>
      </c>
      <c r="AJ276">
        <v>1</v>
      </c>
      <c r="AK276">
        <v>1</v>
      </c>
      <c r="AL276">
        <v>30.3</v>
      </c>
      <c r="AM276" t="s">
        <v>500</v>
      </c>
      <c r="AN276">
        <v>4.0999999999999996</v>
      </c>
      <c r="AO276" t="s">
        <v>508</v>
      </c>
      <c r="AP276">
        <v>4</v>
      </c>
    </row>
    <row r="277" spans="1:42" x14ac:dyDescent="0.2">
      <c r="A277" t="s">
        <v>450</v>
      </c>
      <c r="B277">
        <v>10173</v>
      </c>
      <c r="C277">
        <v>1</v>
      </c>
      <c r="D277">
        <v>1</v>
      </c>
      <c r="E277">
        <v>1</v>
      </c>
      <c r="F277">
        <v>1</v>
      </c>
      <c r="G277">
        <v>3</v>
      </c>
      <c r="H277">
        <v>3</v>
      </c>
      <c r="I277">
        <v>0</v>
      </c>
      <c r="J277" s="2">
        <v>90100</v>
      </c>
      <c r="K277">
        <v>0</v>
      </c>
      <c r="L277">
        <v>4</v>
      </c>
      <c r="M277" t="s">
        <v>201</v>
      </c>
      <c r="N277" t="s">
        <v>44</v>
      </c>
      <c r="O277">
        <v>2134</v>
      </c>
      <c r="P277" s="1">
        <v>36823</v>
      </c>
      <c r="Q277" t="s">
        <v>45</v>
      </c>
      <c r="R277" t="s">
        <v>58</v>
      </c>
      <c r="S277" t="s">
        <v>47</v>
      </c>
      <c r="T277" t="s">
        <v>48</v>
      </c>
      <c r="U277" t="s">
        <v>49</v>
      </c>
      <c r="V277" s="1">
        <v>45767</v>
      </c>
      <c r="W277" s="1" t="s">
        <v>492</v>
      </c>
      <c r="X277" t="s">
        <v>50</v>
      </c>
      <c r="Y277" t="s">
        <v>51</v>
      </c>
      <c r="Z277" t="s">
        <v>61</v>
      </c>
      <c r="AA277" t="s">
        <v>202</v>
      </c>
      <c r="AB277">
        <v>13</v>
      </c>
      <c r="AC277" t="s">
        <v>63</v>
      </c>
      <c r="AD277" t="s">
        <v>64</v>
      </c>
      <c r="AE277">
        <v>3.4</v>
      </c>
      <c r="AF277">
        <v>3</v>
      </c>
      <c r="AG277">
        <v>6</v>
      </c>
      <c r="AH277" s="1">
        <v>46024</v>
      </c>
      <c r="AI277">
        <v>0</v>
      </c>
      <c r="AJ277">
        <v>14</v>
      </c>
      <c r="AK277">
        <v>1</v>
      </c>
      <c r="AL277">
        <v>25.8</v>
      </c>
      <c r="AM277" t="s">
        <v>500</v>
      </c>
      <c r="AN277">
        <v>1.4</v>
      </c>
      <c r="AO277" t="s">
        <v>506</v>
      </c>
      <c r="AP277">
        <v>2</v>
      </c>
    </row>
    <row r="278" spans="1:42" x14ac:dyDescent="0.2">
      <c r="A278" t="s">
        <v>451</v>
      </c>
      <c r="B278">
        <v>10221</v>
      </c>
      <c r="C278">
        <v>1</v>
      </c>
      <c r="D278">
        <v>1</v>
      </c>
      <c r="E278">
        <v>0</v>
      </c>
      <c r="F278">
        <v>5</v>
      </c>
      <c r="G278">
        <v>5</v>
      </c>
      <c r="H278">
        <v>3</v>
      </c>
      <c r="I278">
        <v>1</v>
      </c>
      <c r="J278" s="2">
        <v>60754</v>
      </c>
      <c r="K278">
        <v>1</v>
      </c>
      <c r="L278">
        <v>19</v>
      </c>
      <c r="M278" t="s">
        <v>43</v>
      </c>
      <c r="N278" t="s">
        <v>44</v>
      </c>
      <c r="O278">
        <v>1801</v>
      </c>
      <c r="P278" s="1">
        <v>32236</v>
      </c>
      <c r="Q278" t="s">
        <v>67</v>
      </c>
      <c r="R278" t="s">
        <v>58</v>
      </c>
      <c r="S278" t="s">
        <v>169</v>
      </c>
      <c r="T278" t="s">
        <v>48</v>
      </c>
      <c r="U278" t="s">
        <v>88</v>
      </c>
      <c r="V278" s="1">
        <v>42852</v>
      </c>
      <c r="W278" s="1">
        <v>44287</v>
      </c>
      <c r="X278" t="s">
        <v>96</v>
      </c>
      <c r="Y278" t="s">
        <v>60</v>
      </c>
      <c r="Z278" t="s">
        <v>52</v>
      </c>
      <c r="AA278" t="s">
        <v>75</v>
      </c>
      <c r="AB278">
        <v>39</v>
      </c>
      <c r="AC278" t="s">
        <v>90</v>
      </c>
      <c r="AD278" t="s">
        <v>64</v>
      </c>
      <c r="AE278">
        <v>4.5</v>
      </c>
      <c r="AF278">
        <v>5</v>
      </c>
      <c r="AG278">
        <v>0</v>
      </c>
      <c r="AH278" s="1">
        <v>43511</v>
      </c>
      <c r="AI278">
        <v>0</v>
      </c>
      <c r="AJ278">
        <v>11</v>
      </c>
      <c r="AK278">
        <v>0</v>
      </c>
      <c r="AL278">
        <v>38.4</v>
      </c>
      <c r="AM278" t="s">
        <v>501</v>
      </c>
      <c r="AN278">
        <v>9.4</v>
      </c>
      <c r="AO278" t="s">
        <v>521</v>
      </c>
      <c r="AP278">
        <v>5</v>
      </c>
    </row>
    <row r="279" spans="1:42" x14ac:dyDescent="0.2">
      <c r="A279" t="s">
        <v>452</v>
      </c>
      <c r="B279">
        <v>10146</v>
      </c>
      <c r="C279">
        <v>1</v>
      </c>
      <c r="D279">
        <v>1</v>
      </c>
      <c r="E279">
        <v>0</v>
      </c>
      <c r="F279">
        <v>5</v>
      </c>
      <c r="G279">
        <v>5</v>
      </c>
      <c r="H279">
        <v>3</v>
      </c>
      <c r="I279">
        <v>0</v>
      </c>
      <c r="J279" s="2">
        <v>72202</v>
      </c>
      <c r="K279">
        <v>1</v>
      </c>
      <c r="L279">
        <v>20</v>
      </c>
      <c r="M279" t="s">
        <v>66</v>
      </c>
      <c r="N279" t="s">
        <v>44</v>
      </c>
      <c r="O279">
        <v>2129</v>
      </c>
      <c r="P279" s="1">
        <v>24251</v>
      </c>
      <c r="Q279" t="s">
        <v>67</v>
      </c>
      <c r="R279" t="s">
        <v>58</v>
      </c>
      <c r="S279" t="s">
        <v>47</v>
      </c>
      <c r="T279" t="s">
        <v>48</v>
      </c>
      <c r="U279" t="s">
        <v>49</v>
      </c>
      <c r="V279" s="1">
        <v>43601</v>
      </c>
      <c r="W279" s="1">
        <v>45846</v>
      </c>
      <c r="X279" t="s">
        <v>96</v>
      </c>
      <c r="Y279" t="s">
        <v>60</v>
      </c>
      <c r="Z279" t="s">
        <v>52</v>
      </c>
      <c r="AA279" t="s">
        <v>71</v>
      </c>
      <c r="AB279">
        <v>16</v>
      </c>
      <c r="AC279" t="s">
        <v>76</v>
      </c>
      <c r="AD279" t="s">
        <v>64</v>
      </c>
      <c r="AE279">
        <v>3.93</v>
      </c>
      <c r="AF279">
        <v>3</v>
      </c>
      <c r="AG279">
        <v>0</v>
      </c>
      <c r="AH279" s="1">
        <v>45400</v>
      </c>
      <c r="AI279">
        <v>0</v>
      </c>
      <c r="AJ279">
        <v>3</v>
      </c>
      <c r="AK279">
        <v>0</v>
      </c>
      <c r="AL279">
        <v>60.3</v>
      </c>
      <c r="AM279" t="s">
        <v>518</v>
      </c>
      <c r="AN279">
        <v>7.3</v>
      </c>
      <c r="AO279" t="s">
        <v>521</v>
      </c>
      <c r="AP279">
        <v>5</v>
      </c>
    </row>
    <row r="280" spans="1:42" x14ac:dyDescent="0.2">
      <c r="A280" t="s">
        <v>453</v>
      </c>
      <c r="B280">
        <v>10161</v>
      </c>
      <c r="C280">
        <v>0</v>
      </c>
      <c r="D280">
        <v>0</v>
      </c>
      <c r="E280">
        <v>0</v>
      </c>
      <c r="F280">
        <v>1</v>
      </c>
      <c r="G280">
        <v>6</v>
      </c>
      <c r="H280">
        <v>3</v>
      </c>
      <c r="I280">
        <v>0</v>
      </c>
      <c r="J280" s="2">
        <v>58370</v>
      </c>
      <c r="K280">
        <v>0</v>
      </c>
      <c r="L280">
        <v>3</v>
      </c>
      <c r="M280" t="s">
        <v>145</v>
      </c>
      <c r="N280" t="s">
        <v>454</v>
      </c>
      <c r="O280">
        <v>97756</v>
      </c>
      <c r="P280" s="1">
        <v>28617</v>
      </c>
      <c r="Q280" t="s">
        <v>67</v>
      </c>
      <c r="R280" t="s">
        <v>46</v>
      </c>
      <c r="S280" t="s">
        <v>47</v>
      </c>
      <c r="T280" t="s">
        <v>48</v>
      </c>
      <c r="U280" t="s">
        <v>88</v>
      </c>
      <c r="V280" s="1">
        <v>44833</v>
      </c>
      <c r="W280" s="1" t="s">
        <v>492</v>
      </c>
      <c r="X280" t="s">
        <v>50</v>
      </c>
      <c r="Y280" t="s">
        <v>51</v>
      </c>
      <c r="Z280" t="s">
        <v>5</v>
      </c>
      <c r="AA280" t="s">
        <v>165</v>
      </c>
      <c r="AB280">
        <v>21</v>
      </c>
      <c r="AC280" t="s">
        <v>63</v>
      </c>
      <c r="AD280" t="s">
        <v>64</v>
      </c>
      <c r="AE280">
        <v>3.69</v>
      </c>
      <c r="AF280">
        <v>3</v>
      </c>
      <c r="AG280">
        <v>0</v>
      </c>
      <c r="AH280" s="1">
        <v>46050</v>
      </c>
      <c r="AI280">
        <v>0</v>
      </c>
      <c r="AJ280">
        <v>18</v>
      </c>
      <c r="AK280">
        <v>1</v>
      </c>
      <c r="AL280">
        <v>48.3</v>
      </c>
      <c r="AM280" t="s">
        <v>502</v>
      </c>
      <c r="AN280">
        <v>3.8</v>
      </c>
      <c r="AO280" t="s">
        <v>508</v>
      </c>
      <c r="AP280">
        <v>4</v>
      </c>
    </row>
    <row r="281" spans="1:42" x14ac:dyDescent="0.2">
      <c r="A281" t="s">
        <v>455</v>
      </c>
      <c r="B281">
        <v>10141</v>
      </c>
      <c r="C281">
        <v>0</v>
      </c>
      <c r="D281">
        <v>0</v>
      </c>
      <c r="E281">
        <v>0</v>
      </c>
      <c r="F281">
        <v>5</v>
      </c>
      <c r="G281">
        <v>5</v>
      </c>
      <c r="H281">
        <v>3</v>
      </c>
      <c r="I281">
        <v>0</v>
      </c>
      <c r="J281" s="2">
        <v>48413</v>
      </c>
      <c r="K281">
        <v>1</v>
      </c>
      <c r="L281">
        <v>19</v>
      </c>
      <c r="M281" t="s">
        <v>43</v>
      </c>
      <c r="N281" t="s">
        <v>44</v>
      </c>
      <c r="O281">
        <v>2066</v>
      </c>
      <c r="P281" s="1">
        <v>28619</v>
      </c>
      <c r="Q281" t="s">
        <v>67</v>
      </c>
      <c r="R281" t="s">
        <v>46</v>
      </c>
      <c r="S281" t="s">
        <v>47</v>
      </c>
      <c r="T281" t="s">
        <v>48</v>
      </c>
      <c r="U281" t="s">
        <v>49</v>
      </c>
      <c r="V281" s="1">
        <v>43651</v>
      </c>
      <c r="W281" s="1">
        <v>45540</v>
      </c>
      <c r="X281" t="s">
        <v>74</v>
      </c>
      <c r="Y281" t="s">
        <v>60</v>
      </c>
      <c r="Z281" t="s">
        <v>52</v>
      </c>
      <c r="AA281" t="s">
        <v>78</v>
      </c>
      <c r="AB281">
        <v>11</v>
      </c>
      <c r="AC281" t="s">
        <v>63</v>
      </c>
      <c r="AD281" t="s">
        <v>64</v>
      </c>
      <c r="AE281">
        <v>3.98</v>
      </c>
      <c r="AF281">
        <v>4</v>
      </c>
      <c r="AG281">
        <v>0</v>
      </c>
      <c r="AH281" s="1">
        <v>44987</v>
      </c>
      <c r="AI281">
        <v>0</v>
      </c>
      <c r="AJ281">
        <v>1</v>
      </c>
      <c r="AK281">
        <v>0</v>
      </c>
      <c r="AL281">
        <v>48.3</v>
      </c>
      <c r="AM281" t="s">
        <v>502</v>
      </c>
      <c r="AN281">
        <v>7.1</v>
      </c>
      <c r="AO281" t="s">
        <v>521</v>
      </c>
      <c r="AP281">
        <v>5</v>
      </c>
    </row>
    <row r="282" spans="1:42" x14ac:dyDescent="0.2">
      <c r="A282" t="s">
        <v>456</v>
      </c>
      <c r="B282">
        <v>10268</v>
      </c>
      <c r="C282">
        <v>0</v>
      </c>
      <c r="D282">
        <v>4</v>
      </c>
      <c r="E282">
        <v>1</v>
      </c>
      <c r="F282">
        <v>5</v>
      </c>
      <c r="G282">
        <v>5</v>
      </c>
      <c r="H282">
        <v>3</v>
      </c>
      <c r="I282">
        <v>0</v>
      </c>
      <c r="J282" s="2">
        <v>67176</v>
      </c>
      <c r="K282">
        <v>1</v>
      </c>
      <c r="L282">
        <v>20</v>
      </c>
      <c r="M282" t="s">
        <v>66</v>
      </c>
      <c r="N282" t="s">
        <v>44</v>
      </c>
      <c r="O282">
        <v>2472</v>
      </c>
      <c r="P282" s="1">
        <v>32402</v>
      </c>
      <c r="Q282" t="s">
        <v>45</v>
      </c>
      <c r="R282" t="s">
        <v>84</v>
      </c>
      <c r="S282" t="s">
        <v>47</v>
      </c>
      <c r="T282" t="s">
        <v>48</v>
      </c>
      <c r="U282" t="s">
        <v>49</v>
      </c>
      <c r="V282" s="1">
        <v>42180</v>
      </c>
      <c r="W282" s="1">
        <v>43342</v>
      </c>
      <c r="X282" t="s">
        <v>217</v>
      </c>
      <c r="Y282" t="s">
        <v>60</v>
      </c>
      <c r="Z282" t="s">
        <v>52</v>
      </c>
      <c r="AA282" t="s">
        <v>75</v>
      </c>
      <c r="AB282">
        <v>39</v>
      </c>
      <c r="AC282" t="s">
        <v>6</v>
      </c>
      <c r="AD282" t="s">
        <v>64</v>
      </c>
      <c r="AE282">
        <v>4.0999999999999996</v>
      </c>
      <c r="AF282">
        <v>4</v>
      </c>
      <c r="AG282">
        <v>0</v>
      </c>
      <c r="AH282" s="1">
        <v>42930</v>
      </c>
      <c r="AI282">
        <v>0</v>
      </c>
      <c r="AJ282">
        <v>15</v>
      </c>
      <c r="AK282">
        <v>0</v>
      </c>
      <c r="AL282">
        <v>37.799999999999997</v>
      </c>
      <c r="AM282" t="s">
        <v>501</v>
      </c>
      <c r="AN282">
        <v>11.2</v>
      </c>
      <c r="AO282" t="s">
        <v>521</v>
      </c>
      <c r="AP282">
        <v>5</v>
      </c>
    </row>
    <row r="283" spans="1:42" x14ac:dyDescent="0.2">
      <c r="A283" t="s">
        <v>457</v>
      </c>
      <c r="B283">
        <v>10123</v>
      </c>
      <c r="C283">
        <v>0</v>
      </c>
      <c r="D283">
        <v>2</v>
      </c>
      <c r="E283">
        <v>0</v>
      </c>
      <c r="F283">
        <v>1</v>
      </c>
      <c r="G283">
        <v>5</v>
      </c>
      <c r="H283">
        <v>3</v>
      </c>
      <c r="I283">
        <v>0</v>
      </c>
      <c r="J283" s="2">
        <v>56339</v>
      </c>
      <c r="K283">
        <v>0</v>
      </c>
      <c r="L283">
        <v>19</v>
      </c>
      <c r="M283" t="s">
        <v>43</v>
      </c>
      <c r="N283" t="s">
        <v>44</v>
      </c>
      <c r="O283">
        <v>2093</v>
      </c>
      <c r="P283" s="1">
        <v>29377</v>
      </c>
      <c r="Q283" t="s">
        <v>67</v>
      </c>
      <c r="R283" t="s">
        <v>73</v>
      </c>
      <c r="S283" t="s">
        <v>47</v>
      </c>
      <c r="T283" t="s">
        <v>48</v>
      </c>
      <c r="U283" t="s">
        <v>88</v>
      </c>
      <c r="V283" s="1">
        <v>44245</v>
      </c>
      <c r="W283" s="1" t="s">
        <v>492</v>
      </c>
      <c r="X283" t="s">
        <v>50</v>
      </c>
      <c r="Y283" t="s">
        <v>51</v>
      </c>
      <c r="Z283" t="s">
        <v>52</v>
      </c>
      <c r="AA283" t="s">
        <v>89</v>
      </c>
      <c r="AB283">
        <v>12</v>
      </c>
      <c r="AC283" t="s">
        <v>63</v>
      </c>
      <c r="AD283" t="s">
        <v>64</v>
      </c>
      <c r="AE283">
        <v>4.21</v>
      </c>
      <c r="AF283">
        <v>5</v>
      </c>
      <c r="AG283">
        <v>0</v>
      </c>
      <c r="AH283" s="1">
        <v>46036</v>
      </c>
      <c r="AI283">
        <v>0</v>
      </c>
      <c r="AJ283">
        <v>4</v>
      </c>
      <c r="AK283">
        <v>1</v>
      </c>
      <c r="AL283">
        <v>46.2</v>
      </c>
      <c r="AM283" t="s">
        <v>502</v>
      </c>
      <c r="AN283">
        <v>5.6</v>
      </c>
      <c r="AO283" t="s">
        <v>521</v>
      </c>
      <c r="AP283">
        <v>5</v>
      </c>
    </row>
    <row r="284" spans="1:42" x14ac:dyDescent="0.2">
      <c r="A284" t="s">
        <v>458</v>
      </c>
      <c r="B284">
        <v>10013</v>
      </c>
      <c r="C284">
        <v>0</v>
      </c>
      <c r="D284">
        <v>3</v>
      </c>
      <c r="E284">
        <v>1</v>
      </c>
      <c r="F284">
        <v>1</v>
      </c>
      <c r="G284">
        <v>6</v>
      </c>
      <c r="H284">
        <v>4</v>
      </c>
      <c r="I284">
        <v>0</v>
      </c>
      <c r="J284" s="2">
        <v>64397</v>
      </c>
      <c r="K284">
        <v>0</v>
      </c>
      <c r="L284">
        <v>3</v>
      </c>
      <c r="M284" t="s">
        <v>145</v>
      </c>
      <c r="N284" t="s">
        <v>459</v>
      </c>
      <c r="O284">
        <v>58782</v>
      </c>
      <c r="P284" s="1">
        <v>29601</v>
      </c>
      <c r="Q284" t="s">
        <v>45</v>
      </c>
      <c r="R284" t="s">
        <v>143</v>
      </c>
      <c r="S284" t="s">
        <v>47</v>
      </c>
      <c r="T284" t="s">
        <v>48</v>
      </c>
      <c r="U284" t="s">
        <v>49</v>
      </c>
      <c r="V284" s="1">
        <v>41648</v>
      </c>
      <c r="W284" s="1" t="s">
        <v>492</v>
      </c>
      <c r="X284" t="s">
        <v>50</v>
      </c>
      <c r="Y284" t="s">
        <v>51</v>
      </c>
      <c r="Z284" t="s">
        <v>5</v>
      </c>
      <c r="AA284" t="s">
        <v>165</v>
      </c>
      <c r="AB284">
        <v>21</v>
      </c>
      <c r="AC284" t="s">
        <v>63</v>
      </c>
      <c r="AD284" t="s">
        <v>55</v>
      </c>
      <c r="AE284">
        <v>4.0999999999999996</v>
      </c>
      <c r="AF284">
        <v>3</v>
      </c>
      <c r="AG284">
        <v>0</v>
      </c>
      <c r="AH284" s="1">
        <v>46026</v>
      </c>
      <c r="AI284">
        <v>0</v>
      </c>
      <c r="AJ284">
        <v>6</v>
      </c>
      <c r="AK284">
        <v>1</v>
      </c>
      <c r="AL284">
        <v>45.7</v>
      </c>
      <c r="AM284" t="s">
        <v>502</v>
      </c>
      <c r="AN284">
        <v>12.7</v>
      </c>
      <c r="AO284" t="s">
        <v>521</v>
      </c>
      <c r="AP284">
        <v>5</v>
      </c>
    </row>
    <row r="285" spans="1:42" x14ac:dyDescent="0.2">
      <c r="A285" t="s">
        <v>460</v>
      </c>
      <c r="B285">
        <v>10287</v>
      </c>
      <c r="C285">
        <v>0</v>
      </c>
      <c r="D285">
        <v>0</v>
      </c>
      <c r="E285">
        <v>0</v>
      </c>
      <c r="F285">
        <v>1</v>
      </c>
      <c r="G285">
        <v>5</v>
      </c>
      <c r="H285">
        <v>2</v>
      </c>
      <c r="I285">
        <v>0</v>
      </c>
      <c r="J285" s="2">
        <v>63025</v>
      </c>
      <c r="K285">
        <v>0</v>
      </c>
      <c r="L285">
        <v>19</v>
      </c>
      <c r="M285" t="s">
        <v>43</v>
      </c>
      <c r="N285" t="s">
        <v>44</v>
      </c>
      <c r="O285">
        <v>2021</v>
      </c>
      <c r="P285" s="1">
        <v>35201</v>
      </c>
      <c r="Q285" t="s">
        <v>67</v>
      </c>
      <c r="R285" t="s">
        <v>46</v>
      </c>
      <c r="S285" t="s">
        <v>47</v>
      </c>
      <c r="T285" t="s">
        <v>48</v>
      </c>
      <c r="U285" t="s">
        <v>49</v>
      </c>
      <c r="V285" s="1">
        <v>44609</v>
      </c>
      <c r="W285" s="1" t="s">
        <v>492</v>
      </c>
      <c r="X285" t="s">
        <v>50</v>
      </c>
      <c r="Y285" t="s">
        <v>51</v>
      </c>
      <c r="Z285" t="s">
        <v>52</v>
      </c>
      <c r="AA285" t="s">
        <v>97</v>
      </c>
      <c r="AB285">
        <v>14</v>
      </c>
      <c r="AC285" t="s">
        <v>54</v>
      </c>
      <c r="AD285" t="s">
        <v>124</v>
      </c>
      <c r="AE285">
        <v>2.44</v>
      </c>
      <c r="AF285">
        <v>5</v>
      </c>
      <c r="AG285">
        <v>0</v>
      </c>
      <c r="AH285" s="1">
        <v>46064</v>
      </c>
      <c r="AI285">
        <v>4</v>
      </c>
      <c r="AJ285">
        <v>18</v>
      </c>
      <c r="AK285">
        <v>1</v>
      </c>
      <c r="AL285">
        <v>30.3</v>
      </c>
      <c r="AM285" t="s">
        <v>500</v>
      </c>
      <c r="AN285">
        <v>4.5999999999999996</v>
      </c>
      <c r="AO285" t="s">
        <v>508</v>
      </c>
      <c r="AP285">
        <v>4</v>
      </c>
    </row>
    <row r="286" spans="1:42" x14ac:dyDescent="0.2">
      <c r="A286" t="s">
        <v>461</v>
      </c>
      <c r="B286">
        <v>10044</v>
      </c>
      <c r="C286">
        <v>1</v>
      </c>
      <c r="D286">
        <v>1</v>
      </c>
      <c r="E286">
        <v>1</v>
      </c>
      <c r="F286">
        <v>5</v>
      </c>
      <c r="G286">
        <v>3</v>
      </c>
      <c r="H286">
        <v>3</v>
      </c>
      <c r="I286">
        <v>0</v>
      </c>
      <c r="J286" s="2">
        <v>75281</v>
      </c>
      <c r="K286">
        <v>1</v>
      </c>
      <c r="L286">
        <v>15</v>
      </c>
      <c r="M286" t="s">
        <v>230</v>
      </c>
      <c r="N286" t="s">
        <v>44</v>
      </c>
      <c r="O286">
        <v>1420</v>
      </c>
      <c r="P286" s="1">
        <v>37016</v>
      </c>
      <c r="Q286" t="s">
        <v>45</v>
      </c>
      <c r="R286" t="s">
        <v>58</v>
      </c>
      <c r="S286" t="s">
        <v>47</v>
      </c>
      <c r="T286" t="s">
        <v>48</v>
      </c>
      <c r="U286" t="s">
        <v>49</v>
      </c>
      <c r="V286" s="1">
        <v>44931</v>
      </c>
      <c r="W286" s="1">
        <v>45334</v>
      </c>
      <c r="X286" t="s">
        <v>383</v>
      </c>
      <c r="Y286" t="s">
        <v>60</v>
      </c>
      <c r="Z286" t="s">
        <v>61</v>
      </c>
      <c r="AA286" t="s">
        <v>93</v>
      </c>
      <c r="AB286">
        <v>7</v>
      </c>
      <c r="AC286" t="s">
        <v>123</v>
      </c>
      <c r="AD286" t="s">
        <v>64</v>
      </c>
      <c r="AE286">
        <v>5</v>
      </c>
      <c r="AF286">
        <v>3</v>
      </c>
      <c r="AG286">
        <v>5</v>
      </c>
      <c r="AH286" s="1">
        <v>44666</v>
      </c>
      <c r="AI286">
        <v>0</v>
      </c>
      <c r="AJ286">
        <v>11</v>
      </c>
      <c r="AK286">
        <v>0</v>
      </c>
      <c r="AL286">
        <v>25.3</v>
      </c>
      <c r="AM286" t="s">
        <v>500</v>
      </c>
      <c r="AN286">
        <v>3.7</v>
      </c>
      <c r="AO286" t="s">
        <v>508</v>
      </c>
      <c r="AP286">
        <v>4</v>
      </c>
    </row>
    <row r="287" spans="1:42" x14ac:dyDescent="0.2">
      <c r="A287" t="s">
        <v>462</v>
      </c>
      <c r="B287">
        <v>10102</v>
      </c>
      <c r="C287">
        <v>0</v>
      </c>
      <c r="D287">
        <v>0</v>
      </c>
      <c r="E287">
        <v>1</v>
      </c>
      <c r="F287">
        <v>5</v>
      </c>
      <c r="G287">
        <v>4</v>
      </c>
      <c r="H287">
        <v>3</v>
      </c>
      <c r="I287">
        <v>1</v>
      </c>
      <c r="J287" s="2">
        <v>100416</v>
      </c>
      <c r="K287">
        <v>1</v>
      </c>
      <c r="L287">
        <v>24</v>
      </c>
      <c r="M287" t="s">
        <v>80</v>
      </c>
      <c r="N287" t="s">
        <v>44</v>
      </c>
      <c r="O287">
        <v>2451</v>
      </c>
      <c r="P287" s="1">
        <v>35230</v>
      </c>
      <c r="Q287" t="s">
        <v>45</v>
      </c>
      <c r="R287" t="s">
        <v>46</v>
      </c>
      <c r="S287" t="s">
        <v>169</v>
      </c>
      <c r="T287" t="s">
        <v>48</v>
      </c>
      <c r="U287" t="s">
        <v>88</v>
      </c>
      <c r="V287" s="1">
        <v>44245</v>
      </c>
      <c r="W287" s="1">
        <v>46127</v>
      </c>
      <c r="X287" t="s">
        <v>383</v>
      </c>
      <c r="Y287" t="s">
        <v>60</v>
      </c>
      <c r="Z287" t="s">
        <v>81</v>
      </c>
      <c r="AA287" t="s">
        <v>82</v>
      </c>
      <c r="AB287">
        <v>10</v>
      </c>
      <c r="AC287" t="s">
        <v>90</v>
      </c>
      <c r="AD287" t="s">
        <v>64</v>
      </c>
      <c r="AE287">
        <v>4.5999999999999996</v>
      </c>
      <c r="AF287">
        <v>3</v>
      </c>
      <c r="AG287">
        <v>4</v>
      </c>
      <c r="AH287" s="1">
        <v>45334</v>
      </c>
      <c r="AI287">
        <v>0</v>
      </c>
      <c r="AJ287">
        <v>9</v>
      </c>
      <c r="AK287">
        <v>0</v>
      </c>
      <c r="AL287">
        <v>30.2</v>
      </c>
      <c r="AM287" t="s">
        <v>500</v>
      </c>
      <c r="AN287">
        <v>5.6</v>
      </c>
      <c r="AO287" t="s">
        <v>521</v>
      </c>
      <c r="AP287">
        <v>5</v>
      </c>
    </row>
    <row r="288" spans="1:42" x14ac:dyDescent="0.2">
      <c r="A288" t="s">
        <v>463</v>
      </c>
      <c r="B288">
        <v>10270</v>
      </c>
      <c r="C288">
        <v>0</v>
      </c>
      <c r="D288">
        <v>0</v>
      </c>
      <c r="E288">
        <v>0</v>
      </c>
      <c r="F288">
        <v>5</v>
      </c>
      <c r="G288">
        <v>5</v>
      </c>
      <c r="H288">
        <v>3</v>
      </c>
      <c r="I288">
        <v>0</v>
      </c>
      <c r="J288" s="2">
        <v>74813</v>
      </c>
      <c r="K288">
        <v>1</v>
      </c>
      <c r="L288">
        <v>20</v>
      </c>
      <c r="M288" t="s">
        <v>66</v>
      </c>
      <c r="N288" t="s">
        <v>44</v>
      </c>
      <c r="O288">
        <v>1778</v>
      </c>
      <c r="P288" s="1">
        <v>35869</v>
      </c>
      <c r="Q288" t="s">
        <v>67</v>
      </c>
      <c r="R288" t="s">
        <v>46</v>
      </c>
      <c r="S288" t="s">
        <v>47</v>
      </c>
      <c r="T288" t="s">
        <v>48</v>
      </c>
      <c r="U288" t="s">
        <v>49</v>
      </c>
      <c r="V288" s="1">
        <v>43475</v>
      </c>
      <c r="W288" s="1">
        <v>44744</v>
      </c>
      <c r="X288" t="s">
        <v>99</v>
      </c>
      <c r="Y288" t="s">
        <v>60</v>
      </c>
      <c r="Z288" t="s">
        <v>52</v>
      </c>
      <c r="AA288" t="s">
        <v>78</v>
      </c>
      <c r="AB288">
        <v>11</v>
      </c>
      <c r="AC288" t="s">
        <v>54</v>
      </c>
      <c r="AD288" t="s">
        <v>64</v>
      </c>
      <c r="AE288">
        <v>4.4000000000000004</v>
      </c>
      <c r="AF288">
        <v>3</v>
      </c>
      <c r="AG288">
        <v>0</v>
      </c>
      <c r="AH288" s="1">
        <v>44201</v>
      </c>
      <c r="AI288">
        <v>0</v>
      </c>
      <c r="AJ288">
        <v>5</v>
      </c>
      <c r="AK288">
        <v>0</v>
      </c>
      <c r="AL288">
        <v>28.5</v>
      </c>
      <c r="AM288" t="s">
        <v>500</v>
      </c>
      <c r="AN288">
        <v>7.7</v>
      </c>
      <c r="AO288" t="s">
        <v>521</v>
      </c>
      <c r="AP288">
        <v>5</v>
      </c>
    </row>
    <row r="289" spans="1:42" x14ac:dyDescent="0.2">
      <c r="A289" t="s">
        <v>464</v>
      </c>
      <c r="B289">
        <v>10045</v>
      </c>
      <c r="C289">
        <v>1</v>
      </c>
      <c r="D289">
        <v>1</v>
      </c>
      <c r="E289">
        <v>1</v>
      </c>
      <c r="F289">
        <v>1</v>
      </c>
      <c r="G289">
        <v>3</v>
      </c>
      <c r="H289">
        <v>3</v>
      </c>
      <c r="I289">
        <v>0</v>
      </c>
      <c r="J289" s="2">
        <v>76029</v>
      </c>
      <c r="K289">
        <v>0</v>
      </c>
      <c r="L289">
        <v>15</v>
      </c>
      <c r="M289" t="s">
        <v>230</v>
      </c>
      <c r="N289" t="s">
        <v>44</v>
      </c>
      <c r="O289">
        <v>2343</v>
      </c>
      <c r="P289" s="1">
        <v>30041</v>
      </c>
      <c r="Q289" t="s">
        <v>45</v>
      </c>
      <c r="R289" t="s">
        <v>58</v>
      </c>
      <c r="S289" t="s">
        <v>113</v>
      </c>
      <c r="T289" t="s">
        <v>48</v>
      </c>
      <c r="U289" t="s">
        <v>49</v>
      </c>
      <c r="V289" s="1">
        <v>45015</v>
      </c>
      <c r="W289" s="1" t="s">
        <v>492</v>
      </c>
      <c r="X289" t="s">
        <v>50</v>
      </c>
      <c r="Y289" t="s">
        <v>51</v>
      </c>
      <c r="Z289" t="s">
        <v>61</v>
      </c>
      <c r="AA289" t="s">
        <v>93</v>
      </c>
      <c r="AB289">
        <v>7</v>
      </c>
      <c r="AC289" t="s">
        <v>86</v>
      </c>
      <c r="AD289" t="s">
        <v>64</v>
      </c>
      <c r="AE289">
        <v>5</v>
      </c>
      <c r="AF289">
        <v>4</v>
      </c>
      <c r="AG289">
        <v>7</v>
      </c>
      <c r="AH289" s="1">
        <v>46036</v>
      </c>
      <c r="AI289">
        <v>0</v>
      </c>
      <c r="AJ289">
        <v>8</v>
      </c>
      <c r="AK289">
        <v>1</v>
      </c>
      <c r="AL289">
        <v>44.5</v>
      </c>
      <c r="AM289" t="s">
        <v>501</v>
      </c>
      <c r="AN289">
        <v>3.5</v>
      </c>
      <c r="AO289" t="s">
        <v>508</v>
      </c>
      <c r="AP289">
        <v>4</v>
      </c>
    </row>
    <row r="290" spans="1:42" x14ac:dyDescent="0.2">
      <c r="A290" t="s">
        <v>465</v>
      </c>
      <c r="B290">
        <v>10205</v>
      </c>
      <c r="C290">
        <v>1</v>
      </c>
      <c r="D290">
        <v>1</v>
      </c>
      <c r="E290">
        <v>0</v>
      </c>
      <c r="F290">
        <v>1</v>
      </c>
      <c r="G290">
        <v>6</v>
      </c>
      <c r="H290">
        <v>3</v>
      </c>
      <c r="I290">
        <v>0</v>
      </c>
      <c r="J290" s="2">
        <v>57859</v>
      </c>
      <c r="K290">
        <v>0</v>
      </c>
      <c r="L290">
        <v>3</v>
      </c>
      <c r="M290" t="s">
        <v>145</v>
      </c>
      <c r="N290" t="s">
        <v>466</v>
      </c>
      <c r="O290">
        <v>85006</v>
      </c>
      <c r="P290" s="1">
        <v>38130</v>
      </c>
      <c r="Q290" t="s">
        <v>67</v>
      </c>
      <c r="R290" t="s">
        <v>58</v>
      </c>
      <c r="S290" t="s">
        <v>47</v>
      </c>
      <c r="T290" t="s">
        <v>48</v>
      </c>
      <c r="U290" t="s">
        <v>104</v>
      </c>
      <c r="V290" s="1">
        <v>43651</v>
      </c>
      <c r="W290" s="1" t="s">
        <v>492</v>
      </c>
      <c r="X290" t="s">
        <v>50</v>
      </c>
      <c r="Y290" t="s">
        <v>51</v>
      </c>
      <c r="Z290" t="s">
        <v>5</v>
      </c>
      <c r="AA290" t="s">
        <v>147</v>
      </c>
      <c r="AB290">
        <v>17</v>
      </c>
      <c r="AC290" t="s">
        <v>63</v>
      </c>
      <c r="AD290" t="s">
        <v>64</v>
      </c>
      <c r="AE290">
        <v>2.81</v>
      </c>
      <c r="AF290">
        <v>3</v>
      </c>
      <c r="AG290">
        <v>0</v>
      </c>
      <c r="AH290" s="1">
        <v>46039</v>
      </c>
      <c r="AI290">
        <v>0</v>
      </c>
      <c r="AJ290">
        <v>16</v>
      </c>
      <c r="AK290">
        <v>1</v>
      </c>
      <c r="AL290">
        <v>22.3</v>
      </c>
      <c r="AM290" t="s">
        <v>499</v>
      </c>
      <c r="AN290">
        <v>7.1</v>
      </c>
      <c r="AO290" t="s">
        <v>521</v>
      </c>
      <c r="AP290">
        <v>5</v>
      </c>
    </row>
    <row r="291" spans="1:42" x14ac:dyDescent="0.2">
      <c r="A291" t="s">
        <v>467</v>
      </c>
      <c r="B291">
        <v>10014</v>
      </c>
      <c r="C291">
        <v>0</v>
      </c>
      <c r="D291">
        <v>2</v>
      </c>
      <c r="E291">
        <v>1</v>
      </c>
      <c r="F291">
        <v>5</v>
      </c>
      <c r="G291">
        <v>5</v>
      </c>
      <c r="H291">
        <v>4</v>
      </c>
      <c r="I291">
        <v>0</v>
      </c>
      <c r="J291" s="2">
        <v>58523</v>
      </c>
      <c r="K291">
        <v>1</v>
      </c>
      <c r="L291">
        <v>19</v>
      </c>
      <c r="M291" t="s">
        <v>43</v>
      </c>
      <c r="N291" t="s">
        <v>44</v>
      </c>
      <c r="O291">
        <v>2171</v>
      </c>
      <c r="P291" s="1">
        <v>36556</v>
      </c>
      <c r="Q291" t="s">
        <v>45</v>
      </c>
      <c r="R291" t="s">
        <v>73</v>
      </c>
      <c r="S291" t="s">
        <v>47</v>
      </c>
      <c r="T291" t="s">
        <v>48</v>
      </c>
      <c r="U291" t="s">
        <v>49</v>
      </c>
      <c r="V291" s="1">
        <v>44056</v>
      </c>
      <c r="W291" s="1">
        <v>45327</v>
      </c>
      <c r="X291" t="s">
        <v>300</v>
      </c>
      <c r="Y291" t="s">
        <v>60</v>
      </c>
      <c r="Z291" t="s">
        <v>52</v>
      </c>
      <c r="AA291" t="s">
        <v>69</v>
      </c>
      <c r="AB291">
        <v>20</v>
      </c>
      <c r="AC291" t="s">
        <v>54</v>
      </c>
      <c r="AD291" t="s">
        <v>55</v>
      </c>
      <c r="AE291">
        <v>4.5</v>
      </c>
      <c r="AF291">
        <v>5</v>
      </c>
      <c r="AG291">
        <v>0</v>
      </c>
      <c r="AH291" s="1">
        <v>44958</v>
      </c>
      <c r="AI291">
        <v>0</v>
      </c>
      <c r="AJ291">
        <v>15</v>
      </c>
      <c r="AK291">
        <v>0</v>
      </c>
      <c r="AL291">
        <v>26.7</v>
      </c>
      <c r="AM291" t="s">
        <v>500</v>
      </c>
      <c r="AN291">
        <v>6</v>
      </c>
      <c r="AO291" t="s">
        <v>521</v>
      </c>
      <c r="AP291">
        <v>5</v>
      </c>
    </row>
    <row r="292" spans="1:42" x14ac:dyDescent="0.2">
      <c r="A292" t="s">
        <v>468</v>
      </c>
      <c r="B292">
        <v>10144</v>
      </c>
      <c r="C292">
        <v>0</v>
      </c>
      <c r="D292">
        <v>2</v>
      </c>
      <c r="E292">
        <v>1</v>
      </c>
      <c r="F292">
        <v>1</v>
      </c>
      <c r="G292">
        <v>5</v>
      </c>
      <c r="H292">
        <v>3</v>
      </c>
      <c r="I292">
        <v>0</v>
      </c>
      <c r="J292" s="2">
        <v>88976</v>
      </c>
      <c r="K292">
        <v>0</v>
      </c>
      <c r="L292">
        <v>17</v>
      </c>
      <c r="M292" t="s">
        <v>135</v>
      </c>
      <c r="N292" t="s">
        <v>44</v>
      </c>
      <c r="O292">
        <v>2169</v>
      </c>
      <c r="P292" s="1">
        <v>29869</v>
      </c>
      <c r="Q292" t="s">
        <v>45</v>
      </c>
      <c r="R292" t="s">
        <v>73</v>
      </c>
      <c r="S292" t="s">
        <v>47</v>
      </c>
      <c r="T292" t="s">
        <v>48</v>
      </c>
      <c r="U292" t="s">
        <v>49</v>
      </c>
      <c r="V292" s="1">
        <v>43678</v>
      </c>
      <c r="W292" s="1" t="s">
        <v>492</v>
      </c>
      <c r="X292" t="s">
        <v>50</v>
      </c>
      <c r="Y292" t="s">
        <v>51</v>
      </c>
      <c r="Z292" t="s">
        <v>52</v>
      </c>
      <c r="AA292" t="s">
        <v>137</v>
      </c>
      <c r="AB292">
        <v>2</v>
      </c>
      <c r="AC292" t="s">
        <v>86</v>
      </c>
      <c r="AD292" t="s">
        <v>64</v>
      </c>
      <c r="AE292">
        <v>3.93</v>
      </c>
      <c r="AF292">
        <v>3</v>
      </c>
      <c r="AG292">
        <v>0</v>
      </c>
      <c r="AH292" s="1">
        <v>46080</v>
      </c>
      <c r="AI292">
        <v>0</v>
      </c>
      <c r="AJ292">
        <v>19</v>
      </c>
      <c r="AK292">
        <v>1</v>
      </c>
      <c r="AL292">
        <v>44.8</v>
      </c>
      <c r="AM292" t="s">
        <v>501</v>
      </c>
      <c r="AN292">
        <v>7</v>
      </c>
      <c r="AO292" t="s">
        <v>521</v>
      </c>
      <c r="AP292">
        <v>5</v>
      </c>
    </row>
    <row r="293" spans="1:42" x14ac:dyDescent="0.2">
      <c r="A293" t="s">
        <v>469</v>
      </c>
      <c r="B293">
        <v>10253</v>
      </c>
      <c r="C293">
        <v>0</v>
      </c>
      <c r="D293">
        <v>0</v>
      </c>
      <c r="E293">
        <v>1</v>
      </c>
      <c r="F293">
        <v>1</v>
      </c>
      <c r="G293">
        <v>6</v>
      </c>
      <c r="H293">
        <v>3</v>
      </c>
      <c r="I293">
        <v>0</v>
      </c>
      <c r="J293" s="2">
        <v>55875</v>
      </c>
      <c r="K293">
        <v>0</v>
      </c>
      <c r="L293">
        <v>3</v>
      </c>
      <c r="M293" t="s">
        <v>145</v>
      </c>
      <c r="N293" t="s">
        <v>470</v>
      </c>
      <c r="O293">
        <v>4063</v>
      </c>
      <c r="P293" s="1">
        <v>37448</v>
      </c>
      <c r="Q293" t="s">
        <v>45</v>
      </c>
      <c r="R293" t="s">
        <v>46</v>
      </c>
      <c r="S293" t="s">
        <v>47</v>
      </c>
      <c r="T293" t="s">
        <v>48</v>
      </c>
      <c r="U293" t="s">
        <v>118</v>
      </c>
      <c r="V293" s="1">
        <v>43895</v>
      </c>
      <c r="W293" s="1" t="s">
        <v>492</v>
      </c>
      <c r="X293" t="s">
        <v>50</v>
      </c>
      <c r="Y293" t="s">
        <v>51</v>
      </c>
      <c r="Z293" t="s">
        <v>5</v>
      </c>
      <c r="AA293" t="s">
        <v>147</v>
      </c>
      <c r="AB293">
        <v>17</v>
      </c>
      <c r="AC293" t="s">
        <v>206</v>
      </c>
      <c r="AD293" t="s">
        <v>64</v>
      </c>
      <c r="AE293">
        <v>4.5</v>
      </c>
      <c r="AF293">
        <v>4</v>
      </c>
      <c r="AG293">
        <v>0</v>
      </c>
      <c r="AH293" s="1">
        <v>46040</v>
      </c>
      <c r="AI293">
        <v>0</v>
      </c>
      <c r="AJ293">
        <v>11</v>
      </c>
      <c r="AK293">
        <v>1</v>
      </c>
      <c r="AL293">
        <v>24.1</v>
      </c>
      <c r="AM293" t="s">
        <v>499</v>
      </c>
      <c r="AN293">
        <v>6.5</v>
      </c>
      <c r="AO293" t="s">
        <v>521</v>
      </c>
      <c r="AP293">
        <v>5</v>
      </c>
    </row>
    <row r="294" spans="1:42" x14ac:dyDescent="0.2">
      <c r="A294" t="s">
        <v>471</v>
      </c>
      <c r="B294">
        <v>10118</v>
      </c>
      <c r="C294">
        <v>1</v>
      </c>
      <c r="D294">
        <v>1</v>
      </c>
      <c r="E294">
        <v>1</v>
      </c>
      <c r="F294">
        <v>4</v>
      </c>
      <c r="G294">
        <v>3</v>
      </c>
      <c r="H294">
        <v>3</v>
      </c>
      <c r="I294">
        <v>0</v>
      </c>
      <c r="J294" s="2">
        <v>113999</v>
      </c>
      <c r="K294">
        <v>1</v>
      </c>
      <c r="L294">
        <v>8</v>
      </c>
      <c r="M294" t="s">
        <v>115</v>
      </c>
      <c r="N294" t="s">
        <v>44</v>
      </c>
      <c r="O294">
        <v>1960</v>
      </c>
      <c r="P294" s="1">
        <v>36379</v>
      </c>
      <c r="Q294" t="s">
        <v>45</v>
      </c>
      <c r="R294" t="s">
        <v>58</v>
      </c>
      <c r="S294" t="s">
        <v>47</v>
      </c>
      <c r="T294" t="s">
        <v>48</v>
      </c>
      <c r="U294" t="s">
        <v>88</v>
      </c>
      <c r="V294" s="1">
        <v>44973</v>
      </c>
      <c r="W294" s="1">
        <v>45710</v>
      </c>
      <c r="X294" t="s">
        <v>223</v>
      </c>
      <c r="Y294" t="s">
        <v>110</v>
      </c>
      <c r="Z294" t="s">
        <v>61</v>
      </c>
      <c r="AA294" t="s">
        <v>62</v>
      </c>
      <c r="AB294">
        <v>4</v>
      </c>
      <c r="AC294" t="s">
        <v>86</v>
      </c>
      <c r="AD294" t="s">
        <v>64</v>
      </c>
      <c r="AE294">
        <v>4.33</v>
      </c>
      <c r="AF294">
        <v>3</v>
      </c>
      <c r="AG294">
        <v>7</v>
      </c>
      <c r="AH294" s="1">
        <v>45337</v>
      </c>
      <c r="AI294">
        <v>0</v>
      </c>
      <c r="AJ294">
        <v>9</v>
      </c>
      <c r="AK294">
        <v>0</v>
      </c>
      <c r="AL294">
        <v>27</v>
      </c>
      <c r="AM294" t="s">
        <v>500</v>
      </c>
      <c r="AN294">
        <v>3.6</v>
      </c>
      <c r="AO294" t="s">
        <v>508</v>
      </c>
      <c r="AP294">
        <v>4</v>
      </c>
    </row>
    <row r="295" spans="1:42" x14ac:dyDescent="0.2">
      <c r="A295" t="s">
        <v>472</v>
      </c>
      <c r="B295">
        <v>10022</v>
      </c>
      <c r="C295">
        <v>1</v>
      </c>
      <c r="D295">
        <v>1</v>
      </c>
      <c r="E295">
        <v>0</v>
      </c>
      <c r="F295">
        <v>4</v>
      </c>
      <c r="G295">
        <v>5</v>
      </c>
      <c r="H295">
        <v>4</v>
      </c>
      <c r="I295">
        <v>0</v>
      </c>
      <c r="J295" s="2">
        <v>49773</v>
      </c>
      <c r="K295">
        <v>1</v>
      </c>
      <c r="L295">
        <v>19</v>
      </c>
      <c r="M295" t="s">
        <v>43</v>
      </c>
      <c r="N295" t="s">
        <v>44</v>
      </c>
      <c r="O295">
        <v>2747</v>
      </c>
      <c r="P295" s="1">
        <v>36314</v>
      </c>
      <c r="Q295" t="s">
        <v>67</v>
      </c>
      <c r="R295" t="s">
        <v>58</v>
      </c>
      <c r="S295" t="s">
        <v>47</v>
      </c>
      <c r="T295" t="s">
        <v>48</v>
      </c>
      <c r="U295" t="s">
        <v>49</v>
      </c>
      <c r="V295" s="1">
        <v>43734</v>
      </c>
      <c r="W295" s="1">
        <v>45330</v>
      </c>
      <c r="X295" t="s">
        <v>473</v>
      </c>
      <c r="Y295" t="s">
        <v>110</v>
      </c>
      <c r="Z295" t="s">
        <v>52</v>
      </c>
      <c r="AA295" t="s">
        <v>105</v>
      </c>
      <c r="AB295">
        <v>18</v>
      </c>
      <c r="AC295" t="s">
        <v>76</v>
      </c>
      <c r="AD295" t="s">
        <v>55</v>
      </c>
      <c r="AE295">
        <v>4.3</v>
      </c>
      <c r="AF295">
        <v>5</v>
      </c>
      <c r="AG295">
        <v>0</v>
      </c>
      <c r="AH295" s="1">
        <v>44593</v>
      </c>
      <c r="AI295">
        <v>0</v>
      </c>
      <c r="AJ295">
        <v>18</v>
      </c>
      <c r="AK295">
        <v>0</v>
      </c>
      <c r="AL295">
        <v>27.2</v>
      </c>
      <c r="AM295" t="s">
        <v>500</v>
      </c>
      <c r="AN295">
        <v>6.8</v>
      </c>
      <c r="AO295" t="s">
        <v>521</v>
      </c>
      <c r="AP295">
        <v>5</v>
      </c>
    </row>
    <row r="296" spans="1:42" x14ac:dyDescent="0.2">
      <c r="A296" t="s">
        <v>474</v>
      </c>
      <c r="B296">
        <v>10183</v>
      </c>
      <c r="C296">
        <v>0</v>
      </c>
      <c r="D296">
        <v>0</v>
      </c>
      <c r="E296">
        <v>0</v>
      </c>
      <c r="F296">
        <v>2</v>
      </c>
      <c r="G296">
        <v>5</v>
      </c>
      <c r="H296">
        <v>3</v>
      </c>
      <c r="I296">
        <v>0</v>
      </c>
      <c r="J296" s="2">
        <v>62068</v>
      </c>
      <c r="K296">
        <v>0</v>
      </c>
      <c r="L296">
        <v>19</v>
      </c>
      <c r="M296" t="s">
        <v>43</v>
      </c>
      <c r="N296" t="s">
        <v>44</v>
      </c>
      <c r="O296">
        <v>2124</v>
      </c>
      <c r="P296" s="1">
        <v>35891</v>
      </c>
      <c r="Q296" t="s">
        <v>67</v>
      </c>
      <c r="R296" t="s">
        <v>46</v>
      </c>
      <c r="S296" t="s">
        <v>47</v>
      </c>
      <c r="T296" t="s">
        <v>48</v>
      </c>
      <c r="U296" t="s">
        <v>49</v>
      </c>
      <c r="V296" s="1">
        <v>45112</v>
      </c>
      <c r="W296" s="1" t="s">
        <v>492</v>
      </c>
      <c r="X296" t="s">
        <v>50</v>
      </c>
      <c r="Y296" t="s">
        <v>51</v>
      </c>
      <c r="Z296" t="s">
        <v>52</v>
      </c>
      <c r="AA296" t="s">
        <v>53</v>
      </c>
      <c r="AB296">
        <v>22</v>
      </c>
      <c r="AC296" t="s">
        <v>54</v>
      </c>
      <c r="AD296" t="s">
        <v>64</v>
      </c>
      <c r="AE296">
        <v>3.21</v>
      </c>
      <c r="AF296">
        <v>3</v>
      </c>
      <c r="AG296">
        <v>0</v>
      </c>
      <c r="AH296" s="1">
        <v>46051</v>
      </c>
      <c r="AI296">
        <v>0</v>
      </c>
      <c r="AJ296">
        <v>7</v>
      </c>
      <c r="AK296">
        <v>1</v>
      </c>
      <c r="AL296">
        <v>28.4</v>
      </c>
      <c r="AM296" t="s">
        <v>500</v>
      </c>
      <c r="AN296">
        <v>3.1</v>
      </c>
      <c r="AO296" t="s">
        <v>508</v>
      </c>
      <c r="AP296">
        <v>4</v>
      </c>
    </row>
    <row r="297" spans="1:42" x14ac:dyDescent="0.2">
      <c r="A297" t="s">
        <v>475</v>
      </c>
      <c r="B297">
        <v>10190</v>
      </c>
      <c r="C297">
        <v>0</v>
      </c>
      <c r="D297">
        <v>0</v>
      </c>
      <c r="E297">
        <v>1</v>
      </c>
      <c r="F297">
        <v>1</v>
      </c>
      <c r="G297">
        <v>5</v>
      </c>
      <c r="H297">
        <v>3</v>
      </c>
      <c r="I297">
        <v>0</v>
      </c>
      <c r="J297" s="2">
        <v>66541</v>
      </c>
      <c r="K297">
        <v>0</v>
      </c>
      <c r="L297">
        <v>20</v>
      </c>
      <c r="M297" t="s">
        <v>66</v>
      </c>
      <c r="N297" t="s">
        <v>44</v>
      </c>
      <c r="O297">
        <v>2459</v>
      </c>
      <c r="P297" s="1">
        <v>32549</v>
      </c>
      <c r="Q297" t="s">
        <v>45</v>
      </c>
      <c r="R297" t="s">
        <v>46</v>
      </c>
      <c r="S297" t="s">
        <v>47</v>
      </c>
      <c r="T297" t="s">
        <v>48</v>
      </c>
      <c r="U297" t="s">
        <v>88</v>
      </c>
      <c r="V297" s="1">
        <v>44791</v>
      </c>
      <c r="W297" s="1" t="s">
        <v>492</v>
      </c>
      <c r="X297" t="s">
        <v>50</v>
      </c>
      <c r="Y297" t="s">
        <v>51</v>
      </c>
      <c r="Z297" t="s">
        <v>52</v>
      </c>
      <c r="AA297" t="s">
        <v>85</v>
      </c>
      <c r="AB297">
        <v>19</v>
      </c>
      <c r="AC297" t="s">
        <v>86</v>
      </c>
      <c r="AD297" t="s">
        <v>64</v>
      </c>
      <c r="AE297">
        <v>3.11</v>
      </c>
      <c r="AF297">
        <v>5</v>
      </c>
      <c r="AG297">
        <v>0</v>
      </c>
      <c r="AH297" s="1">
        <v>46065</v>
      </c>
      <c r="AI297">
        <v>0</v>
      </c>
      <c r="AJ297">
        <v>4</v>
      </c>
      <c r="AK297">
        <v>1</v>
      </c>
      <c r="AL297">
        <v>37.6</v>
      </c>
      <c r="AM297" t="s">
        <v>501</v>
      </c>
      <c r="AN297">
        <v>4</v>
      </c>
      <c r="AO297" t="s">
        <v>508</v>
      </c>
      <c r="AP297">
        <v>4</v>
      </c>
    </row>
    <row r="298" spans="1:42" x14ac:dyDescent="0.2">
      <c r="A298" t="s">
        <v>476</v>
      </c>
      <c r="B298">
        <v>10274</v>
      </c>
      <c r="C298">
        <v>1</v>
      </c>
      <c r="D298">
        <v>1</v>
      </c>
      <c r="E298">
        <v>0</v>
      </c>
      <c r="F298">
        <v>5</v>
      </c>
      <c r="G298">
        <v>5</v>
      </c>
      <c r="H298">
        <v>3</v>
      </c>
      <c r="I298">
        <v>1</v>
      </c>
      <c r="J298" s="2">
        <v>80512</v>
      </c>
      <c r="K298">
        <v>1</v>
      </c>
      <c r="L298">
        <v>18</v>
      </c>
      <c r="M298" t="s">
        <v>135</v>
      </c>
      <c r="N298" t="s">
        <v>44</v>
      </c>
      <c r="O298">
        <v>2478</v>
      </c>
      <c r="P298" s="1">
        <v>25156</v>
      </c>
      <c r="Q298" t="s">
        <v>67</v>
      </c>
      <c r="R298" t="s">
        <v>58</v>
      </c>
      <c r="S298" t="s">
        <v>47</v>
      </c>
      <c r="T298" t="s">
        <v>48</v>
      </c>
      <c r="U298" t="s">
        <v>88</v>
      </c>
      <c r="V298" s="1">
        <v>43734</v>
      </c>
      <c r="W298" s="1">
        <v>43832</v>
      </c>
      <c r="X298" t="s">
        <v>96</v>
      </c>
      <c r="Y298" t="s">
        <v>60</v>
      </c>
      <c r="Z298" t="s">
        <v>52</v>
      </c>
      <c r="AA298" t="s">
        <v>137</v>
      </c>
      <c r="AB298">
        <v>2</v>
      </c>
      <c r="AC298" t="s">
        <v>90</v>
      </c>
      <c r="AD298" t="s">
        <v>64</v>
      </c>
      <c r="AE298">
        <v>4.5</v>
      </c>
      <c r="AF298">
        <v>3</v>
      </c>
      <c r="AG298">
        <v>0</v>
      </c>
      <c r="AH298" s="1">
        <v>43467</v>
      </c>
      <c r="AI298">
        <v>0</v>
      </c>
      <c r="AJ298">
        <v>5</v>
      </c>
      <c r="AK298">
        <v>0</v>
      </c>
      <c r="AL298">
        <v>57.8</v>
      </c>
      <c r="AM298" t="s">
        <v>518</v>
      </c>
      <c r="AN298">
        <v>6.8</v>
      </c>
      <c r="AO298" t="s">
        <v>521</v>
      </c>
      <c r="AP298">
        <v>5</v>
      </c>
    </row>
    <row r="299" spans="1:42" x14ac:dyDescent="0.2">
      <c r="A299" t="s">
        <v>477</v>
      </c>
      <c r="B299">
        <v>10293</v>
      </c>
      <c r="C299">
        <v>0</v>
      </c>
      <c r="D299">
        <v>0</v>
      </c>
      <c r="E299">
        <v>0</v>
      </c>
      <c r="F299">
        <v>5</v>
      </c>
      <c r="G299">
        <v>5</v>
      </c>
      <c r="H299">
        <v>2</v>
      </c>
      <c r="I299">
        <v>0</v>
      </c>
      <c r="J299" s="2">
        <v>50274</v>
      </c>
      <c r="K299">
        <v>1</v>
      </c>
      <c r="L299">
        <v>19</v>
      </c>
      <c r="M299" t="s">
        <v>43</v>
      </c>
      <c r="N299" t="s">
        <v>44</v>
      </c>
      <c r="O299">
        <v>1887</v>
      </c>
      <c r="P299" s="1">
        <v>34183</v>
      </c>
      <c r="Q299" t="s">
        <v>67</v>
      </c>
      <c r="R299" t="s">
        <v>46</v>
      </c>
      <c r="S299" t="s">
        <v>47</v>
      </c>
      <c r="T299" t="s">
        <v>48</v>
      </c>
      <c r="U299" t="s">
        <v>49</v>
      </c>
      <c r="V299" s="1">
        <v>44056</v>
      </c>
      <c r="W299" s="1">
        <v>45170</v>
      </c>
      <c r="X299" t="s">
        <v>59</v>
      </c>
      <c r="Y299" t="s">
        <v>60</v>
      </c>
      <c r="Z299" t="s">
        <v>52</v>
      </c>
      <c r="AA299" t="s">
        <v>71</v>
      </c>
      <c r="AB299">
        <v>16</v>
      </c>
      <c r="AC299" t="s">
        <v>123</v>
      </c>
      <c r="AD299" t="s">
        <v>124</v>
      </c>
      <c r="AE299">
        <v>2.5</v>
      </c>
      <c r="AF299">
        <v>3</v>
      </c>
      <c r="AG299">
        <v>0</v>
      </c>
      <c r="AH299" s="1">
        <v>44444</v>
      </c>
      <c r="AI299">
        <v>6</v>
      </c>
      <c r="AJ299">
        <v>13</v>
      </c>
      <c r="AK299">
        <v>0</v>
      </c>
      <c r="AL299">
        <v>33</v>
      </c>
      <c r="AM299" t="s">
        <v>500</v>
      </c>
      <c r="AN299">
        <v>6</v>
      </c>
      <c r="AO299" t="s">
        <v>521</v>
      </c>
      <c r="AP299">
        <v>5</v>
      </c>
    </row>
    <row r="300" spans="1:42" x14ac:dyDescent="0.2">
      <c r="A300" t="s">
        <v>478</v>
      </c>
      <c r="B300">
        <v>10172</v>
      </c>
      <c r="C300">
        <v>0</v>
      </c>
      <c r="D300">
        <v>0</v>
      </c>
      <c r="E300">
        <v>1</v>
      </c>
      <c r="F300">
        <v>1</v>
      </c>
      <c r="G300">
        <v>3</v>
      </c>
      <c r="H300">
        <v>3</v>
      </c>
      <c r="I300">
        <v>0</v>
      </c>
      <c r="J300" s="2">
        <v>84903</v>
      </c>
      <c r="K300">
        <v>0</v>
      </c>
      <c r="L300">
        <v>22</v>
      </c>
      <c r="M300" t="s">
        <v>320</v>
      </c>
      <c r="N300" t="s">
        <v>44</v>
      </c>
      <c r="O300">
        <v>1887</v>
      </c>
      <c r="P300" s="1">
        <v>34523</v>
      </c>
      <c r="Q300" t="s">
        <v>45</v>
      </c>
      <c r="R300" t="s">
        <v>46</v>
      </c>
      <c r="S300" t="s">
        <v>47</v>
      </c>
      <c r="T300" t="s">
        <v>48</v>
      </c>
      <c r="U300" t="s">
        <v>118</v>
      </c>
      <c r="V300" s="1">
        <v>45703</v>
      </c>
      <c r="W300" s="1" t="s">
        <v>492</v>
      </c>
      <c r="X300" t="s">
        <v>50</v>
      </c>
      <c r="Y300" t="s">
        <v>51</v>
      </c>
      <c r="Z300" t="s">
        <v>61</v>
      </c>
      <c r="AA300" t="s">
        <v>202</v>
      </c>
      <c r="AB300">
        <v>13</v>
      </c>
      <c r="AC300" t="s">
        <v>63</v>
      </c>
      <c r="AD300" t="s">
        <v>64</v>
      </c>
      <c r="AE300">
        <v>3.42</v>
      </c>
      <c r="AF300">
        <v>4</v>
      </c>
      <c r="AG300">
        <v>7</v>
      </c>
      <c r="AH300" s="1">
        <v>46026</v>
      </c>
      <c r="AI300">
        <v>0</v>
      </c>
      <c r="AJ300">
        <v>17</v>
      </c>
      <c r="AK300">
        <v>1</v>
      </c>
      <c r="AL300">
        <v>32.1</v>
      </c>
      <c r="AM300" t="s">
        <v>500</v>
      </c>
      <c r="AN300">
        <v>1.6</v>
      </c>
      <c r="AO300" t="s">
        <v>506</v>
      </c>
      <c r="AP300">
        <v>2</v>
      </c>
    </row>
    <row r="301" spans="1:42" x14ac:dyDescent="0.2">
      <c r="A301" t="s">
        <v>479</v>
      </c>
      <c r="B301">
        <v>10127</v>
      </c>
      <c r="C301">
        <v>0</v>
      </c>
      <c r="D301">
        <v>4</v>
      </c>
      <c r="E301">
        <v>0</v>
      </c>
      <c r="F301">
        <v>1</v>
      </c>
      <c r="G301">
        <v>3</v>
      </c>
      <c r="H301">
        <v>3</v>
      </c>
      <c r="I301">
        <v>0</v>
      </c>
      <c r="J301" s="2">
        <v>107226</v>
      </c>
      <c r="K301">
        <v>0</v>
      </c>
      <c r="L301">
        <v>28</v>
      </c>
      <c r="M301" t="s">
        <v>184</v>
      </c>
      <c r="N301" t="s">
        <v>44</v>
      </c>
      <c r="O301">
        <v>2453</v>
      </c>
      <c r="P301" s="1">
        <v>33360</v>
      </c>
      <c r="Q301" t="s">
        <v>67</v>
      </c>
      <c r="R301" t="s">
        <v>84</v>
      </c>
      <c r="S301" t="s">
        <v>47</v>
      </c>
      <c r="T301" t="s">
        <v>48</v>
      </c>
      <c r="U301" t="s">
        <v>118</v>
      </c>
      <c r="V301" s="1">
        <v>45015</v>
      </c>
      <c r="W301" s="1" t="s">
        <v>492</v>
      </c>
      <c r="X301" t="s">
        <v>50</v>
      </c>
      <c r="Y301" t="s">
        <v>51</v>
      </c>
      <c r="Z301" t="s">
        <v>61</v>
      </c>
      <c r="AA301" t="s">
        <v>93</v>
      </c>
      <c r="AB301">
        <v>7</v>
      </c>
      <c r="AC301" t="s">
        <v>86</v>
      </c>
      <c r="AD301" t="s">
        <v>64</v>
      </c>
      <c r="AE301">
        <v>4.2</v>
      </c>
      <c r="AF301">
        <v>4</v>
      </c>
      <c r="AG301">
        <v>8</v>
      </c>
      <c r="AH301" s="1">
        <v>46058</v>
      </c>
      <c r="AI301">
        <v>0</v>
      </c>
      <c r="AJ301">
        <v>7</v>
      </c>
      <c r="AK301">
        <v>1</v>
      </c>
      <c r="AL301">
        <v>35.299999999999997</v>
      </c>
      <c r="AM301" t="s">
        <v>501</v>
      </c>
      <c r="AN301">
        <v>3.5</v>
      </c>
      <c r="AO301" t="s">
        <v>508</v>
      </c>
      <c r="AP301">
        <v>4</v>
      </c>
    </row>
    <row r="302" spans="1:42" x14ac:dyDescent="0.2">
      <c r="A302" t="s">
        <v>480</v>
      </c>
      <c r="B302">
        <v>10072</v>
      </c>
      <c r="C302">
        <v>0</v>
      </c>
      <c r="D302">
        <v>0</v>
      </c>
      <c r="E302">
        <v>1</v>
      </c>
      <c r="F302">
        <v>5</v>
      </c>
      <c r="G302">
        <v>5</v>
      </c>
      <c r="H302">
        <v>3</v>
      </c>
      <c r="I302">
        <v>0</v>
      </c>
      <c r="J302" s="2">
        <v>58371</v>
      </c>
      <c r="K302">
        <v>1</v>
      </c>
      <c r="L302">
        <v>19</v>
      </c>
      <c r="M302" t="s">
        <v>43</v>
      </c>
      <c r="N302" t="s">
        <v>44</v>
      </c>
      <c r="O302">
        <v>2030</v>
      </c>
      <c r="P302" s="1">
        <v>36670</v>
      </c>
      <c r="Q302" t="s">
        <v>45</v>
      </c>
      <c r="R302" t="s">
        <v>46</v>
      </c>
      <c r="S302" t="s">
        <v>47</v>
      </c>
      <c r="T302" t="s">
        <v>95</v>
      </c>
      <c r="U302" t="s">
        <v>49</v>
      </c>
      <c r="V302" s="1">
        <v>43475</v>
      </c>
      <c r="W302" s="1">
        <v>44696</v>
      </c>
      <c r="X302" t="s">
        <v>68</v>
      </c>
      <c r="Y302" t="s">
        <v>60</v>
      </c>
      <c r="Z302" t="s">
        <v>52</v>
      </c>
      <c r="AA302" t="s">
        <v>75</v>
      </c>
      <c r="AB302">
        <v>39</v>
      </c>
      <c r="AC302" t="s">
        <v>54</v>
      </c>
      <c r="AD302" t="s">
        <v>64</v>
      </c>
      <c r="AE302">
        <v>5</v>
      </c>
      <c r="AF302">
        <v>5</v>
      </c>
      <c r="AG302">
        <v>0</v>
      </c>
      <c r="AH302" s="1">
        <v>44331</v>
      </c>
      <c r="AI302">
        <v>0</v>
      </c>
      <c r="AJ302">
        <v>11</v>
      </c>
      <c r="AK302">
        <v>0</v>
      </c>
      <c r="AL302">
        <v>26.3</v>
      </c>
      <c r="AM302" t="s">
        <v>500</v>
      </c>
      <c r="AN302">
        <v>7.7</v>
      </c>
      <c r="AO302" t="s">
        <v>521</v>
      </c>
      <c r="AP302">
        <v>5</v>
      </c>
    </row>
    <row r="303" spans="1:42" x14ac:dyDescent="0.2">
      <c r="A303" t="s">
        <v>481</v>
      </c>
      <c r="B303">
        <v>10048</v>
      </c>
      <c r="C303">
        <v>1</v>
      </c>
      <c r="D303">
        <v>1</v>
      </c>
      <c r="E303">
        <v>1</v>
      </c>
      <c r="F303">
        <v>5</v>
      </c>
      <c r="G303">
        <v>5</v>
      </c>
      <c r="H303">
        <v>3</v>
      </c>
      <c r="I303">
        <v>0</v>
      </c>
      <c r="J303" s="2">
        <v>55140</v>
      </c>
      <c r="K303">
        <v>1</v>
      </c>
      <c r="L303">
        <v>19</v>
      </c>
      <c r="M303" t="s">
        <v>43</v>
      </c>
      <c r="N303" t="s">
        <v>44</v>
      </c>
      <c r="O303">
        <v>2324</v>
      </c>
      <c r="P303" s="1">
        <v>28742</v>
      </c>
      <c r="Q303" t="s">
        <v>45</v>
      </c>
      <c r="R303" t="s">
        <v>58</v>
      </c>
      <c r="S303" t="s">
        <v>113</v>
      </c>
      <c r="T303" t="s">
        <v>48</v>
      </c>
      <c r="U303" t="s">
        <v>49</v>
      </c>
      <c r="V303" s="1">
        <v>43601</v>
      </c>
      <c r="W303" s="1">
        <v>45176</v>
      </c>
      <c r="X303" t="s">
        <v>99</v>
      </c>
      <c r="Y303" t="s">
        <v>60</v>
      </c>
      <c r="Z303" t="s">
        <v>52</v>
      </c>
      <c r="AA303" t="s">
        <v>78</v>
      </c>
      <c r="AB303">
        <v>11</v>
      </c>
      <c r="AC303" t="s">
        <v>206</v>
      </c>
      <c r="AD303" t="s">
        <v>64</v>
      </c>
      <c r="AE303">
        <v>5</v>
      </c>
      <c r="AF303">
        <v>3</v>
      </c>
      <c r="AG303">
        <v>0</v>
      </c>
      <c r="AH303" s="1">
        <v>44607</v>
      </c>
      <c r="AI303">
        <v>0</v>
      </c>
      <c r="AJ303">
        <v>7</v>
      </c>
      <c r="AK303">
        <v>0</v>
      </c>
      <c r="AL303">
        <v>47.8</v>
      </c>
      <c r="AM303" t="s">
        <v>502</v>
      </c>
      <c r="AN303">
        <v>7.3</v>
      </c>
      <c r="AO303" t="s">
        <v>521</v>
      </c>
      <c r="AP303">
        <v>5</v>
      </c>
    </row>
    <row r="304" spans="1:42" x14ac:dyDescent="0.2">
      <c r="A304" t="s">
        <v>482</v>
      </c>
      <c r="B304">
        <v>10204</v>
      </c>
      <c r="C304">
        <v>0</v>
      </c>
      <c r="D304">
        <v>2</v>
      </c>
      <c r="E304">
        <v>0</v>
      </c>
      <c r="F304">
        <v>5</v>
      </c>
      <c r="G304">
        <v>5</v>
      </c>
      <c r="H304">
        <v>3</v>
      </c>
      <c r="I304">
        <v>0</v>
      </c>
      <c r="J304" s="2">
        <v>58062</v>
      </c>
      <c r="K304">
        <v>1</v>
      </c>
      <c r="L304">
        <v>19</v>
      </c>
      <c r="M304" t="s">
        <v>43</v>
      </c>
      <c r="N304" t="s">
        <v>44</v>
      </c>
      <c r="O304">
        <v>1876</v>
      </c>
      <c r="P304" s="1">
        <v>35276</v>
      </c>
      <c r="Q304" t="s">
        <v>67</v>
      </c>
      <c r="R304" t="s">
        <v>73</v>
      </c>
      <c r="S304" t="s">
        <v>47</v>
      </c>
      <c r="T304" t="s">
        <v>48</v>
      </c>
      <c r="U304" t="s">
        <v>49</v>
      </c>
      <c r="V304" s="1">
        <v>43475</v>
      </c>
      <c r="W304" s="1">
        <v>43965</v>
      </c>
      <c r="X304" t="s">
        <v>96</v>
      </c>
      <c r="Y304" t="s">
        <v>60</v>
      </c>
      <c r="Z304" t="s">
        <v>52</v>
      </c>
      <c r="AA304" t="s">
        <v>85</v>
      </c>
      <c r="AB304">
        <v>19</v>
      </c>
      <c r="AC304" t="s">
        <v>76</v>
      </c>
      <c r="AD304" t="s">
        <v>64</v>
      </c>
      <c r="AE304">
        <v>3.6</v>
      </c>
      <c r="AF304">
        <v>5</v>
      </c>
      <c r="AG304">
        <v>0</v>
      </c>
      <c r="AH304" s="1">
        <v>43137</v>
      </c>
      <c r="AI304">
        <v>0</v>
      </c>
      <c r="AJ304">
        <v>9</v>
      </c>
      <c r="AK304">
        <v>0</v>
      </c>
      <c r="AL304">
        <v>30.1</v>
      </c>
      <c r="AM304" t="s">
        <v>500</v>
      </c>
      <c r="AN304">
        <v>7.7</v>
      </c>
      <c r="AO304" t="s">
        <v>521</v>
      </c>
      <c r="AP304">
        <v>5</v>
      </c>
    </row>
    <row r="305" spans="1:42" x14ac:dyDescent="0.2">
      <c r="A305" t="s">
        <v>483</v>
      </c>
      <c r="B305">
        <v>10264</v>
      </c>
      <c r="C305">
        <v>0</v>
      </c>
      <c r="D305">
        <v>0</v>
      </c>
      <c r="E305">
        <v>0</v>
      </c>
      <c r="F305">
        <v>5</v>
      </c>
      <c r="G305">
        <v>5</v>
      </c>
      <c r="H305">
        <v>3</v>
      </c>
      <c r="I305">
        <v>1</v>
      </c>
      <c r="J305" s="2">
        <v>59728</v>
      </c>
      <c r="K305">
        <v>1</v>
      </c>
      <c r="L305">
        <v>19</v>
      </c>
      <c r="M305" t="s">
        <v>43</v>
      </c>
      <c r="N305" t="s">
        <v>44</v>
      </c>
      <c r="O305">
        <v>2109</v>
      </c>
      <c r="P305" s="1">
        <v>30226</v>
      </c>
      <c r="Q305" t="s">
        <v>67</v>
      </c>
      <c r="R305" t="s">
        <v>46</v>
      </c>
      <c r="S305" t="s">
        <v>47</v>
      </c>
      <c r="T305" t="s">
        <v>95</v>
      </c>
      <c r="U305" t="s">
        <v>88</v>
      </c>
      <c r="V305" s="1">
        <v>43839</v>
      </c>
      <c r="W305" s="1">
        <v>45104</v>
      </c>
      <c r="X305" t="s">
        <v>167</v>
      </c>
      <c r="Y305" t="s">
        <v>60</v>
      </c>
      <c r="Z305" t="s">
        <v>52</v>
      </c>
      <c r="AA305" t="s">
        <v>85</v>
      </c>
      <c r="AB305">
        <v>19</v>
      </c>
      <c r="AC305" t="s">
        <v>90</v>
      </c>
      <c r="AD305" t="s">
        <v>64</v>
      </c>
      <c r="AE305">
        <v>4.3</v>
      </c>
      <c r="AF305">
        <v>4</v>
      </c>
      <c r="AG305">
        <v>0</v>
      </c>
      <c r="AH305" s="1">
        <v>44349</v>
      </c>
      <c r="AI305">
        <v>0</v>
      </c>
      <c r="AJ305">
        <v>16</v>
      </c>
      <c r="AK305">
        <v>0</v>
      </c>
      <c r="AL305">
        <v>43.8</v>
      </c>
      <c r="AM305" t="s">
        <v>501</v>
      </c>
      <c r="AN305">
        <v>6.7</v>
      </c>
      <c r="AO305" t="s">
        <v>521</v>
      </c>
      <c r="AP305">
        <v>5</v>
      </c>
    </row>
    <row r="306" spans="1:42" x14ac:dyDescent="0.2">
      <c r="A306" t="s">
        <v>484</v>
      </c>
      <c r="B306">
        <v>10033</v>
      </c>
      <c r="C306">
        <v>0</v>
      </c>
      <c r="D306">
        <v>0</v>
      </c>
      <c r="E306">
        <v>1</v>
      </c>
      <c r="F306">
        <v>5</v>
      </c>
      <c r="G306">
        <v>5</v>
      </c>
      <c r="H306">
        <v>4</v>
      </c>
      <c r="I306">
        <v>0</v>
      </c>
      <c r="J306" s="2">
        <v>70507</v>
      </c>
      <c r="K306">
        <v>1</v>
      </c>
      <c r="L306">
        <v>20</v>
      </c>
      <c r="M306" t="s">
        <v>66</v>
      </c>
      <c r="N306" t="s">
        <v>44</v>
      </c>
      <c r="O306">
        <v>2045</v>
      </c>
      <c r="P306" s="1">
        <v>26244</v>
      </c>
      <c r="Q306" t="s">
        <v>45</v>
      </c>
      <c r="R306" t="s">
        <v>46</v>
      </c>
      <c r="S306" t="s">
        <v>47</v>
      </c>
      <c r="T306" t="s">
        <v>48</v>
      </c>
      <c r="U306" t="s">
        <v>49</v>
      </c>
      <c r="V306" s="1">
        <v>44203</v>
      </c>
      <c r="W306" s="1">
        <v>45343</v>
      </c>
      <c r="X306" t="s">
        <v>136</v>
      </c>
      <c r="Y306" t="s">
        <v>60</v>
      </c>
      <c r="Z306" t="s">
        <v>52</v>
      </c>
      <c r="AA306" t="s">
        <v>89</v>
      </c>
      <c r="AB306">
        <v>12</v>
      </c>
      <c r="AC306" t="s">
        <v>54</v>
      </c>
      <c r="AD306" t="s">
        <v>55</v>
      </c>
      <c r="AE306">
        <v>5</v>
      </c>
      <c r="AF306">
        <v>3</v>
      </c>
      <c r="AG306">
        <v>0</v>
      </c>
      <c r="AH306" s="1">
        <v>44945</v>
      </c>
      <c r="AI306">
        <v>0</v>
      </c>
      <c r="AJ306">
        <v>7</v>
      </c>
      <c r="AK306">
        <v>0</v>
      </c>
      <c r="AL306">
        <v>54.8</v>
      </c>
      <c r="AM306" t="s">
        <v>502</v>
      </c>
      <c r="AN306">
        <v>5.7</v>
      </c>
      <c r="AO306" t="s">
        <v>521</v>
      </c>
      <c r="AP306">
        <v>5</v>
      </c>
    </row>
    <row r="307" spans="1:42" x14ac:dyDescent="0.2">
      <c r="A307" t="s">
        <v>485</v>
      </c>
      <c r="B307">
        <v>10174</v>
      </c>
      <c r="C307">
        <v>0</v>
      </c>
      <c r="D307">
        <v>0</v>
      </c>
      <c r="E307">
        <v>0</v>
      </c>
      <c r="F307">
        <v>1</v>
      </c>
      <c r="G307">
        <v>5</v>
      </c>
      <c r="H307">
        <v>3</v>
      </c>
      <c r="I307">
        <v>0</v>
      </c>
      <c r="J307" s="2">
        <v>60446</v>
      </c>
      <c r="K307">
        <v>0</v>
      </c>
      <c r="L307">
        <v>20</v>
      </c>
      <c r="M307" t="s">
        <v>66</v>
      </c>
      <c r="N307" t="s">
        <v>44</v>
      </c>
      <c r="O307">
        <v>2302</v>
      </c>
      <c r="P307" s="1">
        <v>35905</v>
      </c>
      <c r="Q307" t="s">
        <v>67</v>
      </c>
      <c r="R307" t="s">
        <v>46</v>
      </c>
      <c r="S307" t="s">
        <v>47</v>
      </c>
      <c r="T307" t="s">
        <v>48</v>
      </c>
      <c r="U307" t="s">
        <v>49</v>
      </c>
      <c r="V307" s="1">
        <v>44833</v>
      </c>
      <c r="W307" s="1" t="s">
        <v>492</v>
      </c>
      <c r="X307" t="s">
        <v>50</v>
      </c>
      <c r="Y307" t="s">
        <v>51</v>
      </c>
      <c r="Z307" t="s">
        <v>52</v>
      </c>
      <c r="AA307" t="s">
        <v>97</v>
      </c>
      <c r="AB307">
        <v>14</v>
      </c>
      <c r="AC307" t="s">
        <v>54</v>
      </c>
      <c r="AD307" t="s">
        <v>64</v>
      </c>
      <c r="AE307">
        <v>3.4</v>
      </c>
      <c r="AF307">
        <v>4</v>
      </c>
      <c r="AG307">
        <v>0</v>
      </c>
      <c r="AH307" s="1">
        <v>46074</v>
      </c>
      <c r="AI307">
        <v>0</v>
      </c>
      <c r="AJ307">
        <v>14</v>
      </c>
      <c r="AK307">
        <v>1</v>
      </c>
      <c r="AL307">
        <v>28.4</v>
      </c>
      <c r="AM307" t="s">
        <v>500</v>
      </c>
      <c r="AN307">
        <v>3.8</v>
      </c>
      <c r="AO307" t="s">
        <v>508</v>
      </c>
      <c r="AP307">
        <v>4</v>
      </c>
    </row>
    <row r="308" spans="1:42" x14ac:dyDescent="0.2">
      <c r="A308" t="s">
        <v>486</v>
      </c>
      <c r="B308">
        <v>10135</v>
      </c>
      <c r="C308">
        <v>0</v>
      </c>
      <c r="D308">
        <v>0</v>
      </c>
      <c r="E308">
        <v>1</v>
      </c>
      <c r="F308">
        <v>1</v>
      </c>
      <c r="G308">
        <v>5</v>
      </c>
      <c r="H308">
        <v>3</v>
      </c>
      <c r="I308">
        <v>0</v>
      </c>
      <c r="J308" s="2">
        <v>65893</v>
      </c>
      <c r="K308">
        <v>0</v>
      </c>
      <c r="L308">
        <v>20</v>
      </c>
      <c r="M308" t="s">
        <v>66</v>
      </c>
      <c r="N308" t="s">
        <v>44</v>
      </c>
      <c r="O308">
        <v>1810</v>
      </c>
      <c r="P308" s="1">
        <v>35926</v>
      </c>
      <c r="Q308" t="s">
        <v>45</v>
      </c>
      <c r="R308" t="s">
        <v>46</v>
      </c>
      <c r="S308" t="s">
        <v>47</v>
      </c>
      <c r="T308" t="s">
        <v>48</v>
      </c>
      <c r="U308" t="s">
        <v>49</v>
      </c>
      <c r="V308" s="1">
        <v>44749</v>
      </c>
      <c r="W308" s="1" t="s">
        <v>492</v>
      </c>
      <c r="X308" t="s">
        <v>50</v>
      </c>
      <c r="Y308" t="s">
        <v>51</v>
      </c>
      <c r="Z308" t="s">
        <v>52</v>
      </c>
      <c r="AA308" t="s">
        <v>69</v>
      </c>
      <c r="AB308">
        <v>20</v>
      </c>
      <c r="AC308" t="s">
        <v>54</v>
      </c>
      <c r="AD308" t="s">
        <v>64</v>
      </c>
      <c r="AE308">
        <v>4.07</v>
      </c>
      <c r="AF308">
        <v>4</v>
      </c>
      <c r="AG308">
        <v>0</v>
      </c>
      <c r="AH308" s="1">
        <v>46081</v>
      </c>
      <c r="AI308">
        <v>0</v>
      </c>
      <c r="AJ308">
        <v>13</v>
      </c>
      <c r="AK308">
        <v>1</v>
      </c>
      <c r="AL308">
        <v>28.3</v>
      </c>
      <c r="AM308" t="s">
        <v>500</v>
      </c>
      <c r="AN308">
        <v>4.0999999999999996</v>
      </c>
      <c r="AO308" t="s">
        <v>508</v>
      </c>
      <c r="AP308">
        <v>4</v>
      </c>
    </row>
    <row r="309" spans="1:42" x14ac:dyDescent="0.2">
      <c r="A309" t="s">
        <v>487</v>
      </c>
      <c r="B309">
        <v>10301</v>
      </c>
      <c r="C309">
        <v>0</v>
      </c>
      <c r="D309">
        <v>0</v>
      </c>
      <c r="E309">
        <v>0</v>
      </c>
      <c r="F309">
        <v>5</v>
      </c>
      <c r="G309">
        <v>5</v>
      </c>
      <c r="H309">
        <v>1</v>
      </c>
      <c r="I309">
        <v>0</v>
      </c>
      <c r="J309" s="2">
        <v>48513</v>
      </c>
      <c r="K309">
        <v>1</v>
      </c>
      <c r="L309">
        <v>19</v>
      </c>
      <c r="M309" t="s">
        <v>43</v>
      </c>
      <c r="N309" t="s">
        <v>44</v>
      </c>
      <c r="O309">
        <v>2458</v>
      </c>
      <c r="P309" s="1">
        <v>34823</v>
      </c>
      <c r="Q309" t="s">
        <v>67</v>
      </c>
      <c r="R309" t="s">
        <v>46</v>
      </c>
      <c r="S309" t="s">
        <v>47</v>
      </c>
      <c r="T309" t="s">
        <v>48</v>
      </c>
      <c r="U309" t="s">
        <v>118</v>
      </c>
      <c r="V309" s="1">
        <v>42615</v>
      </c>
      <c r="W309" s="1">
        <v>45198</v>
      </c>
      <c r="X309" t="s">
        <v>96</v>
      </c>
      <c r="Y309" t="s">
        <v>60</v>
      </c>
      <c r="Z309" t="s">
        <v>52</v>
      </c>
      <c r="AA309" t="s">
        <v>89</v>
      </c>
      <c r="AB309">
        <v>12</v>
      </c>
      <c r="AC309" t="s">
        <v>76</v>
      </c>
      <c r="AD309" t="s">
        <v>196</v>
      </c>
      <c r="AE309">
        <v>3.2</v>
      </c>
      <c r="AF309">
        <v>2</v>
      </c>
      <c r="AG309">
        <v>0</v>
      </c>
      <c r="AH309" s="1">
        <v>44806</v>
      </c>
      <c r="AI309">
        <v>5</v>
      </c>
      <c r="AJ309">
        <v>4</v>
      </c>
      <c r="AK309">
        <v>0</v>
      </c>
      <c r="AL309">
        <v>31.3</v>
      </c>
      <c r="AM309" t="s">
        <v>500</v>
      </c>
      <c r="AN309">
        <v>9.8000000000000007</v>
      </c>
      <c r="AO309" t="s">
        <v>521</v>
      </c>
      <c r="AP309">
        <v>5</v>
      </c>
    </row>
    <row r="310" spans="1:42" x14ac:dyDescent="0.2">
      <c r="A310" t="s">
        <v>488</v>
      </c>
      <c r="B310">
        <v>10010</v>
      </c>
      <c r="C310">
        <v>0</v>
      </c>
      <c r="D310">
        <v>0</v>
      </c>
      <c r="E310">
        <v>0</v>
      </c>
      <c r="F310">
        <v>1</v>
      </c>
      <c r="G310">
        <v>3</v>
      </c>
      <c r="H310">
        <v>4</v>
      </c>
      <c r="I310">
        <v>0</v>
      </c>
      <c r="J310" s="2">
        <v>220450</v>
      </c>
      <c r="K310">
        <v>0</v>
      </c>
      <c r="L310">
        <v>6</v>
      </c>
      <c r="M310" t="s">
        <v>489</v>
      </c>
      <c r="N310" t="s">
        <v>44</v>
      </c>
      <c r="O310">
        <v>2067</v>
      </c>
      <c r="P310" s="1">
        <v>33846</v>
      </c>
      <c r="Q310" t="s">
        <v>67</v>
      </c>
      <c r="R310" t="s">
        <v>46</v>
      </c>
      <c r="S310" t="s">
        <v>47</v>
      </c>
      <c r="T310" t="s">
        <v>48</v>
      </c>
      <c r="U310" t="s">
        <v>49</v>
      </c>
      <c r="V310" s="1">
        <v>43200</v>
      </c>
      <c r="W310" s="1" t="s">
        <v>492</v>
      </c>
      <c r="X310" t="s">
        <v>50</v>
      </c>
      <c r="Y310" t="s">
        <v>51</v>
      </c>
      <c r="Z310" t="s">
        <v>61</v>
      </c>
      <c r="AA310" t="s">
        <v>137</v>
      </c>
      <c r="AB310">
        <v>2</v>
      </c>
      <c r="AC310" t="s">
        <v>86</v>
      </c>
      <c r="AD310" t="s">
        <v>55</v>
      </c>
      <c r="AE310">
        <v>4.5999999999999996</v>
      </c>
      <c r="AF310">
        <v>5</v>
      </c>
      <c r="AG310">
        <v>6</v>
      </c>
      <c r="AH310" s="1">
        <v>46074</v>
      </c>
      <c r="AI310">
        <v>0</v>
      </c>
      <c r="AJ310">
        <v>16</v>
      </c>
      <c r="AK310">
        <v>1</v>
      </c>
      <c r="AL310">
        <v>34</v>
      </c>
      <c r="AM310" t="s">
        <v>500</v>
      </c>
      <c r="AN310">
        <v>8.4</v>
      </c>
      <c r="AO310" t="s">
        <v>521</v>
      </c>
      <c r="AP310">
        <v>5</v>
      </c>
    </row>
    <row r="311" spans="1:42" x14ac:dyDescent="0.2">
      <c r="A311" t="s">
        <v>490</v>
      </c>
      <c r="B311">
        <v>10043</v>
      </c>
      <c r="C311">
        <v>0</v>
      </c>
      <c r="D311">
        <v>0</v>
      </c>
      <c r="E311">
        <v>0</v>
      </c>
      <c r="F311">
        <v>1</v>
      </c>
      <c r="G311">
        <v>3</v>
      </c>
      <c r="H311">
        <v>3</v>
      </c>
      <c r="I311">
        <v>0</v>
      </c>
      <c r="J311" s="2">
        <v>89292</v>
      </c>
      <c r="K311">
        <v>0</v>
      </c>
      <c r="L311">
        <v>9</v>
      </c>
      <c r="M311" t="s">
        <v>101</v>
      </c>
      <c r="N311" t="s">
        <v>44</v>
      </c>
      <c r="O311">
        <v>2148</v>
      </c>
      <c r="P311" s="1">
        <v>33658</v>
      </c>
      <c r="Q311" t="s">
        <v>67</v>
      </c>
      <c r="R311" t="s">
        <v>46</v>
      </c>
      <c r="S311" t="s">
        <v>47</v>
      </c>
      <c r="T311" t="s">
        <v>48</v>
      </c>
      <c r="U311" t="s">
        <v>49</v>
      </c>
      <c r="V311" s="1">
        <v>45015</v>
      </c>
      <c r="W311" s="1" t="s">
        <v>492</v>
      </c>
      <c r="X311" t="s">
        <v>50</v>
      </c>
      <c r="Y311" t="s">
        <v>51</v>
      </c>
      <c r="Z311" t="s">
        <v>61</v>
      </c>
      <c r="AA311" t="s">
        <v>62</v>
      </c>
      <c r="AB311">
        <v>4</v>
      </c>
      <c r="AC311" t="s">
        <v>86</v>
      </c>
      <c r="AD311" t="s">
        <v>64</v>
      </c>
      <c r="AE311">
        <v>5</v>
      </c>
      <c r="AF311">
        <v>3</v>
      </c>
      <c r="AG311">
        <v>5</v>
      </c>
      <c r="AH311" s="1">
        <v>46054</v>
      </c>
      <c r="AI311">
        <v>0</v>
      </c>
      <c r="AJ311">
        <v>11</v>
      </c>
      <c r="AK311">
        <v>1</v>
      </c>
      <c r="AL311">
        <v>34.6</v>
      </c>
      <c r="AM311" t="s">
        <v>500</v>
      </c>
      <c r="AN311">
        <v>3.5</v>
      </c>
      <c r="AO311" t="s">
        <v>508</v>
      </c>
      <c r="AP311">
        <v>4</v>
      </c>
    </row>
    <row r="312" spans="1:42" x14ac:dyDescent="0.2">
      <c r="A312" t="s">
        <v>491</v>
      </c>
      <c r="B312">
        <v>10271</v>
      </c>
      <c r="C312">
        <v>0</v>
      </c>
      <c r="D312">
        <v>4</v>
      </c>
      <c r="E312">
        <v>0</v>
      </c>
      <c r="F312">
        <v>1</v>
      </c>
      <c r="G312">
        <v>5</v>
      </c>
      <c r="H312">
        <v>3</v>
      </c>
      <c r="I312">
        <v>0</v>
      </c>
      <c r="J312" s="2">
        <v>45046</v>
      </c>
      <c r="K312">
        <v>0</v>
      </c>
      <c r="L312">
        <v>19</v>
      </c>
      <c r="M312" t="s">
        <v>43</v>
      </c>
      <c r="N312" t="s">
        <v>44</v>
      </c>
      <c r="O312">
        <v>1730</v>
      </c>
      <c r="P312" s="1">
        <v>33467</v>
      </c>
      <c r="Q312" t="s">
        <v>67</v>
      </c>
      <c r="R312" t="s">
        <v>84</v>
      </c>
      <c r="S312" t="s">
        <v>47</v>
      </c>
      <c r="T312" t="s">
        <v>48</v>
      </c>
      <c r="U312" t="s">
        <v>118</v>
      </c>
      <c r="V312" s="1">
        <v>44833</v>
      </c>
      <c r="W312" s="1" t="s">
        <v>492</v>
      </c>
      <c r="X312" t="s">
        <v>50</v>
      </c>
      <c r="Y312" t="s">
        <v>51</v>
      </c>
      <c r="Z312" t="s">
        <v>52</v>
      </c>
      <c r="AA312" t="s">
        <v>97</v>
      </c>
      <c r="AB312">
        <v>14</v>
      </c>
      <c r="AC312" t="s">
        <v>54</v>
      </c>
      <c r="AD312" t="s">
        <v>64</v>
      </c>
      <c r="AE312">
        <v>4.5</v>
      </c>
      <c r="AF312">
        <v>5</v>
      </c>
      <c r="AG312">
        <v>0</v>
      </c>
      <c r="AH312" s="1">
        <v>46052</v>
      </c>
      <c r="AI312">
        <v>0</v>
      </c>
      <c r="AJ312">
        <v>2</v>
      </c>
      <c r="AK312">
        <v>1</v>
      </c>
      <c r="AL312">
        <v>35</v>
      </c>
      <c r="AM312" t="s">
        <v>501</v>
      </c>
      <c r="AN312">
        <v>3.8</v>
      </c>
      <c r="AO312" t="s">
        <v>508</v>
      </c>
      <c r="AP312">
        <v>4</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8C653-6752-B74C-9E60-896D189FE0D7}">
  <dimension ref="A3:S54"/>
  <sheetViews>
    <sheetView tabSelected="1" zoomScale="80" zoomScaleNormal="80" workbookViewId="0">
      <selection activeCell="G7" sqref="G7"/>
    </sheetView>
  </sheetViews>
  <sheetFormatPr baseColWidth="10" defaultRowHeight="16" x14ac:dyDescent="0.2"/>
  <cols>
    <col min="2" max="2" width="21.6640625" bestFit="1" customWidth="1"/>
    <col min="3" max="3" width="10.1640625" customWidth="1"/>
    <col min="4" max="4" width="11.6640625" customWidth="1"/>
    <col min="5" max="5" width="10.5" bestFit="1" customWidth="1"/>
    <col min="6" max="6" width="11" customWidth="1"/>
    <col min="7" max="7" width="29.33203125" bestFit="1" customWidth="1"/>
    <col min="8" max="8" width="28.6640625" bestFit="1" customWidth="1"/>
    <col min="9" max="9" width="66.5" bestFit="1" customWidth="1"/>
  </cols>
  <sheetData>
    <row r="3" spans="2:9" x14ac:dyDescent="0.2">
      <c r="B3" s="12" t="s">
        <v>7</v>
      </c>
      <c r="D3" s="5" t="s">
        <v>515</v>
      </c>
      <c r="I3" s="14" t="s">
        <v>0</v>
      </c>
    </row>
    <row r="4" spans="2:9" x14ac:dyDescent="0.2">
      <c r="B4" s="13">
        <v>46235</v>
      </c>
      <c r="D4" s="8">
        <f>YEAR($B$4)</f>
        <v>2026</v>
      </c>
      <c r="I4" s="14" t="s">
        <v>541</v>
      </c>
    </row>
    <row r="7" spans="2:9" x14ac:dyDescent="0.2">
      <c r="B7" t="s">
        <v>493</v>
      </c>
    </row>
    <row r="8" spans="2:9" x14ac:dyDescent="0.2">
      <c r="C8" s="4" t="s">
        <v>496</v>
      </c>
      <c r="D8" s="4" t="s">
        <v>4</v>
      </c>
      <c r="E8" s="4" t="s">
        <v>3</v>
      </c>
    </row>
    <row r="9" spans="2:9" x14ac:dyDescent="0.2">
      <c r="C9" s="3">
        <f>COUNTIFS(HRDataset[Latest_DateofHire],"&lt;="&amp;$B$4,HRDataset[Latest_DateofTermination],"") + COUNTIFS(HRDataset[Latest_DateofHire],"&lt;="&amp;$B$4,HRDataset[Latest_DateofTermination],"&gt;"&amp;$B$4)</f>
        <v>210</v>
      </c>
      <c r="D9" s="3">
        <f>COUNTIFS(HRDataset[Latest_DateofHire],"&lt;="&amp;$B$4,HRDataset[Latest_DateofTermination],"",HRDataset[GenderID],0) + COUNTIFS(HRDataset[Latest_DateofHire],"&lt;="&amp;$B$4,HRDataset[Latest_DateofTermination],"&gt;"&amp;$B$4,HRDataset[GenderID],0)</f>
        <v>117</v>
      </c>
      <c r="E9" s="3">
        <f>COUNTIFS(HRDataset[Latest_DateofHire],"&lt;="&amp;$B$4,HRDataset[Latest_DateofTermination],"",HRDataset[GenderID],1) + COUNTIFS(HRDataset[Latest_DateofHire],"&lt;="&amp;$B$4,HRDataset[Latest_DateofTermination],"&gt;"&amp;$B$4,HRDataset[GenderID],1)</f>
        <v>93</v>
      </c>
      <c r="G9" t="s">
        <v>527</v>
      </c>
      <c r="H9" s="10">
        <f>CORREL(HRDataset[PerfScoreID],HRDataset[EmpSatisfaction])</f>
        <v>0.30357938247443272</v>
      </c>
    </row>
    <row r="10" spans="2:9" x14ac:dyDescent="0.2">
      <c r="C10" s="6">
        <f>$C$9/$C$9</f>
        <v>1</v>
      </c>
      <c r="D10" s="6">
        <f>_xlfn.PERCENTOF($D$9,$C$9)</f>
        <v>0.55714285714285716</v>
      </c>
      <c r="E10" s="6">
        <f>_xlfn.PERCENTOF($E$9,$C$9)</f>
        <v>0.44285714285714284</v>
      </c>
      <c r="G10" s="9" t="s">
        <v>528</v>
      </c>
      <c r="H10" s="10">
        <f>CORREL(HRDataset[PerfScoreID],HRDataset[TenureScore])</f>
        <v>4.6330856200417755E-2</v>
      </c>
    </row>
    <row r="12" spans="2:9" x14ac:dyDescent="0.2">
      <c r="B12" t="s">
        <v>494</v>
      </c>
    </row>
    <row r="13" spans="2:9" x14ac:dyDescent="0.2">
      <c r="B13" s="5" t="s">
        <v>495</v>
      </c>
      <c r="C13" s="4" t="s">
        <v>493</v>
      </c>
      <c r="D13" s="4" t="s">
        <v>4</v>
      </c>
      <c r="E13" s="4" t="s">
        <v>3</v>
      </c>
      <c r="G13" s="11" t="s">
        <v>540</v>
      </c>
    </row>
    <row r="14" spans="2:9" x14ac:dyDescent="0.2">
      <c r="B14" t="str" cm="1">
        <f t="array" ref="B14:B19">_xlfn.UNIQUE(HRDataset[Department])</f>
        <v xml:space="preserve">Production       </v>
      </c>
      <c r="C14">
        <f>COUNTIFS(HRDataset[Latest_DateofHire],"&lt;="&amp;$B$4,HRDataset[Latest_DateofTermination],"",HRDataset[Department],$B14) + COUNTIFS(HRDataset[Latest_DateofHire],"&lt;="&amp;$B$4,HRDataset[Latest_DateofTermination],"&gt;"&amp;$B$4,HRDataset[Department],$B14)</f>
        <v>128</v>
      </c>
      <c r="D14">
        <f>COUNTIFS(HRDataset[Latest_DateofHire],"&lt;="&amp;$B$4,HRDataset[Latest_DateofTermination],"",HRDataset[Department],$B14,HRDataset[GenderID],0) + COUNTIFS(HRDataset[Latest_DateofHire],"&lt;="&amp;$B$4,HRDataset[Latest_DateofTermination],"&gt;"&amp;$B$4,HRDataset[Department],$B14,HRDataset[GenderID],0)</f>
        <v>76</v>
      </c>
      <c r="E14">
        <f>COUNTIFS(HRDataset[Latest_DateofHire],"&lt;="&amp;$B$4,HRDataset[Latest_DateofTermination],"",HRDataset[Department],$B14,HRDataset[GenderID],1) + COUNTIFS(HRDataset[Latest_DateofHire],"&lt;="&amp;$B$4,HRDataset[Latest_DateofTermination],"&gt;"&amp;$B$4,HRDataset[Department],$B14,HRDataset[GenderID],1)</f>
        <v>52</v>
      </c>
      <c r="G14" s="5" t="s">
        <v>531</v>
      </c>
      <c r="H14" t="s">
        <v>532</v>
      </c>
    </row>
    <row r="15" spans="2:9" x14ac:dyDescent="0.2">
      <c r="B15" t="str">
        <v>IT/IS</v>
      </c>
      <c r="C15">
        <f>COUNTIFS(HRDataset[Latest_DateofHire],"&lt;="&amp;$B$4,HRDataset[Latest_DateofTermination],"",HRDataset[Department],$B15) + COUNTIFS(HRDataset[Latest_DateofHire],"&lt;="&amp;$B$4,HRDataset[Latest_DateofTermination],"&gt;"&amp;$B$4,HRDataset[Department],$B15)</f>
        <v>40</v>
      </c>
      <c r="D15">
        <f>COUNTIFS(HRDataset[Latest_DateofHire],"&lt;="&amp;$B$4,HRDataset[Latest_DateofTermination],"",HRDataset[Department],$B15,HRDataset[GenderID],0) + COUNTIFS(HRDataset[Latest_DateofHire],"&lt;="&amp;$B$4,HRDataset[Latest_DateofTermination],"&gt;"&amp;$B$4,HRDataset[Department],$B15,HRDataset[GenderID],0)</f>
        <v>19</v>
      </c>
      <c r="E15">
        <f>COUNTIFS(HRDataset[Latest_DateofHire],"&lt;="&amp;$B$4,HRDataset[Latest_DateofTermination],"",HRDataset[Department],$B15,HRDataset[GenderID],1) + COUNTIFS(HRDataset[Latest_DateofHire],"&lt;="&amp;$B$4,HRDataset[Latest_DateofTermination],"&gt;"&amp;$B$4,HRDataset[Department],$B15,HRDataset[GenderID],1)</f>
        <v>21</v>
      </c>
      <c r="G15" s="5" t="s">
        <v>533</v>
      </c>
      <c r="H15" t="s">
        <v>534</v>
      </c>
    </row>
    <row r="16" spans="2:9" x14ac:dyDescent="0.2">
      <c r="B16" t="str">
        <v>Software Engineering</v>
      </c>
      <c r="C16">
        <f>COUNTIFS(HRDataset[Latest_DateofHire],"&lt;="&amp;$B$4,HRDataset[Latest_DateofTermination],"",HRDataset[Department],$B16) + COUNTIFS(HRDataset[Latest_DateofHire],"&lt;="&amp;$B$4,HRDataset[Latest_DateofTermination],"&gt;"&amp;$B$4,HRDataset[Department],$B16)</f>
        <v>7</v>
      </c>
      <c r="D16">
        <f>COUNTIFS(HRDataset[Latest_DateofHire],"&lt;="&amp;$B$4,HRDataset[Latest_DateofTermination],"",HRDataset[Department],$B16,HRDataset[GenderID],0) + COUNTIFS(HRDataset[Latest_DateofHire],"&lt;="&amp;$B$4,HRDataset[Latest_DateofTermination],"&gt;"&amp;$B$4,HRDataset[Department],$B16,HRDataset[GenderID],0)</f>
        <v>5</v>
      </c>
      <c r="E16">
        <f>COUNTIFS(HRDataset[Latest_DateofHire],"&lt;="&amp;$B$4,HRDataset[Latest_DateofTermination],"",HRDataset[Department],$B16,HRDataset[GenderID],1) + COUNTIFS(HRDataset[Latest_DateofHire],"&lt;="&amp;$B$4,HRDataset[Latest_DateofTermination],"&gt;"&amp;$B$4,HRDataset[Department],$B16,HRDataset[GenderID],1)</f>
        <v>2</v>
      </c>
      <c r="G16" s="5" t="s">
        <v>535</v>
      </c>
      <c r="H16" t="s">
        <v>536</v>
      </c>
    </row>
    <row r="17" spans="1:19" x14ac:dyDescent="0.2">
      <c r="B17" t="str">
        <v>Admin Offices</v>
      </c>
      <c r="C17">
        <f>COUNTIFS(HRDataset[Latest_DateofHire],"&lt;="&amp;$B$4,HRDataset[Latest_DateofTermination],"",HRDataset[Department],$B17) + COUNTIFS(HRDataset[Latest_DateofHire],"&lt;="&amp;$B$4,HRDataset[Latest_DateofTermination],"&gt;"&amp;$B$4,HRDataset[Department],$B17)</f>
        <v>7</v>
      </c>
      <c r="D17">
        <f>COUNTIFS(HRDataset[Latest_DateofHire],"&lt;="&amp;$B$4,HRDataset[Latest_DateofTermination],"",HRDataset[Department],$B17,HRDataset[GenderID],0) + COUNTIFS(HRDataset[Latest_DateofHire],"&lt;="&amp;$B$4,HRDataset[Latest_DateofTermination],"&gt;"&amp;$B$4,HRDataset[Department],$B17,HRDataset[GenderID],0)</f>
        <v>4</v>
      </c>
      <c r="E17">
        <f>COUNTIFS(HRDataset[Latest_DateofHire],"&lt;="&amp;$B$4,HRDataset[Latest_DateofTermination],"",HRDataset[Department],$B17,HRDataset[GenderID],1) + COUNTIFS(HRDataset[Latest_DateofHire],"&lt;="&amp;$B$4,HRDataset[Latest_DateofTermination],"&gt;"&amp;$B$4,HRDataset[Department],$B17,HRDataset[GenderID],1)</f>
        <v>3</v>
      </c>
      <c r="G17" s="5" t="s">
        <v>537</v>
      </c>
      <c r="H17" t="s">
        <v>538</v>
      </c>
    </row>
    <row r="18" spans="1:19" x14ac:dyDescent="0.2">
      <c r="B18" t="str">
        <v>Sales</v>
      </c>
      <c r="C18">
        <f>COUNTIFS(HRDataset[Latest_DateofHire],"&lt;="&amp;$B$4,HRDataset[Latest_DateofTermination],"",HRDataset[Department],$B18) + COUNTIFS(HRDataset[Latest_DateofHire],"&lt;="&amp;$B$4,HRDataset[Latest_DateofTermination],"&gt;"&amp;$B$4,HRDataset[Department],$B18)</f>
        <v>27</v>
      </c>
      <c r="D18">
        <f>COUNTIFS(HRDataset[Latest_DateofHire],"&lt;="&amp;$B$4,HRDataset[Latest_DateofTermination],"",HRDataset[Department],$B18,HRDataset[GenderID],0) + COUNTIFS(HRDataset[Latest_DateofHire],"&lt;="&amp;$B$4,HRDataset[Latest_DateofTermination],"&gt;"&amp;$B$4,HRDataset[Department],$B18,HRDataset[GenderID],0)</f>
        <v>12</v>
      </c>
      <c r="E18">
        <f>COUNTIFS(HRDataset[Latest_DateofHire],"&lt;="&amp;$B$4,HRDataset[Latest_DateofTermination],"",HRDataset[Department],$B18,HRDataset[GenderID],1) + COUNTIFS(HRDataset[Latest_DateofHire],"&lt;="&amp;$B$4,HRDataset[Latest_DateofTermination],"&gt;"&amp;$B$4,HRDataset[Department],$B18,HRDataset[GenderID],1)</f>
        <v>15</v>
      </c>
    </row>
    <row r="19" spans="1:19" x14ac:dyDescent="0.2">
      <c r="B19" t="str">
        <v>Executive Office</v>
      </c>
      <c r="C19">
        <f>COUNTIFS(HRDataset[Latest_DateofHire],"&lt;="&amp;$B$4,HRDataset[Latest_DateofTermination],"",HRDataset[Department],$B19) + COUNTIFS(HRDataset[Latest_DateofHire],"&lt;="&amp;$B$4,HRDataset[Latest_DateofTermination],"&gt;"&amp;$B$4,HRDataset[Department],$B19)</f>
        <v>1</v>
      </c>
      <c r="D19">
        <f>COUNTIFS(HRDataset[Latest_DateofHire],"&lt;="&amp;$B$4,HRDataset[Latest_DateofTermination],"",HRDataset[Department],$B19,HRDataset[GenderID],0) + COUNTIFS(HRDataset[Latest_DateofHire],"&lt;="&amp;$B$4,HRDataset[Latest_DateofTermination],"&gt;"&amp;$B$4,HRDataset[Department],$B19,HRDataset[GenderID],0)</f>
        <v>1</v>
      </c>
      <c r="E19">
        <f>COUNTIFS(HRDataset[Latest_DateofHire],"&lt;="&amp;$B$4,HRDataset[Latest_DateofTermination],"",HRDataset[Department],$B19,HRDataset[GenderID],1) + COUNTIFS(HRDataset[Latest_DateofHire],"&lt;="&amp;$B$4,HRDataset[Latest_DateofTermination],"&gt;"&amp;$B$4,HRDataset[Department],$B19,HRDataset[GenderID],1)</f>
        <v>0</v>
      </c>
    </row>
    <row r="21" spans="1:19" x14ac:dyDescent="0.2">
      <c r="B21" t="s">
        <v>524</v>
      </c>
    </row>
    <row r="22" spans="1:19" x14ac:dyDescent="0.2">
      <c r="B22" s="5" t="s">
        <v>497</v>
      </c>
      <c r="C22" s="4" t="s">
        <v>493</v>
      </c>
      <c r="D22" s="4" t="s">
        <v>4</v>
      </c>
      <c r="E22" s="4" t="s">
        <v>3</v>
      </c>
    </row>
    <row r="23" spans="1:19" x14ac:dyDescent="0.2">
      <c r="A23">
        <v>20</v>
      </c>
      <c r="B23" t="s">
        <v>499</v>
      </c>
      <c r="C23" cm="1">
        <f t="array" ref="C23">SUMPRODUCT(((DATEDIF(HRDataset[Latest_DOB],$B$4,"Y")&gt;=$A23)*(DATEDIF(HRDataset[Latest_DOB],$B$4,"Y")&lt;$A23+5))*(HRDataset[Latest_DateofHire]&lt;$B$4)*((HRDataset[Latest_DateofTermination]="") +  ((HRDataset[Latest_DateofTermination]&gt;=$B$4)*(HRDataset[Latest_DateofTermination]&lt;&gt;"")) ) )</f>
        <v>25</v>
      </c>
      <c r="D23" cm="1">
        <f t="array" ref="D23">SUMPRODUCT(((DATEDIF(HRDataset[Latest_DOB],$B$4,"Y")&gt;=$A23)*(DATEDIF(HRDataset[Latest_DOB],$B$4,"Y")&lt;$A23+5))*(HRDataset[Latest_DateofHire]&lt;$B$4)*((HRDataset[Latest_DateofTermination]="")+((HRDataset[Latest_DateofTermination]&gt;=$B$4)*(HRDataset[Latest_DateofTermination]&lt;&gt;""))) * (HRDataset[GenderID]=0))</f>
        <v>17</v>
      </c>
      <c r="E23" cm="1">
        <f t="array" ref="E23">SUMPRODUCT(((DATEDIF(HRDataset[Latest_DOB],$B$4,"Y")&gt;=$A23)*(DATEDIF(HRDataset[Latest_DOB],$B$4,"Y")&lt;$A23+5))*(HRDataset[Latest_DateofHire]&lt;$B$4)*((HRDataset[Latest_DateofTermination]="")+((HRDataset[Latest_DateofTermination]&gt;=$B$4)*(HRDataset[Latest_DateofTermination]&lt;&gt;""))) * (HRDataset[GenderID]=1))</f>
        <v>8</v>
      </c>
    </row>
    <row r="24" spans="1:19" x14ac:dyDescent="0.2">
      <c r="A24">
        <v>25</v>
      </c>
      <c r="B24" t="s">
        <v>500</v>
      </c>
      <c r="C24" cm="1">
        <f t="array" ref="C24">SUMPRODUCT(((DATEDIF(HRDataset[Latest_DOB],$B$4,"Y")&gt;=$A24)*(DATEDIF(HRDataset[Latest_DOB],$B$4,"Y")&lt;$A24+10))*(HRDataset[Latest_DateofHire]&lt;$B$4)*((HRDataset[Latest_DateofTermination]="") +  ((HRDataset[Latest_DateofTermination]&gt;=$B$4)*(HRDataset[Latest_DateofTermination]&lt;&gt;"")) ) )</f>
        <v>109</v>
      </c>
      <c r="D24" cm="1">
        <f t="array" ref="D24">SUMPRODUCT(((DATEDIF(HRDataset[Latest_DOB],$B$4,"Y")&gt;=$A24)*(DATEDIF(HRDataset[Latest_DOB],$B$4,"Y")&lt;$A24+10))*(HRDataset[Latest_DateofHire]&lt;$B$4)*((HRDataset[Latest_DateofTermination]="")+((HRDataset[Latest_DateofTermination]&gt;=$B$4)*(HRDataset[Latest_DateofTermination]&lt;&gt;""))) * (HRDataset[GenderID]=0))</f>
        <v>57</v>
      </c>
      <c r="E24" cm="1">
        <f t="array" ref="E24">SUMPRODUCT(((DATEDIF(HRDataset[Latest_DOB],$B$4,"Y")&gt;=$A24)*(DATEDIF(HRDataset[Latest_DOB],$B$4,"Y")&lt;$A24+10))*(HRDataset[Latest_DateofHire]&lt;$B$4)*((HRDataset[Latest_DateofTermination]="")+((HRDataset[Latest_DateofTermination]&gt;=$B$4)*(HRDataset[Latest_DateofTermination]&lt;&gt;""))) * (HRDataset[GenderID]=1))</f>
        <v>52</v>
      </c>
    </row>
    <row r="25" spans="1:19" x14ac:dyDescent="0.2">
      <c r="A25">
        <v>35</v>
      </c>
      <c r="B25" t="s">
        <v>501</v>
      </c>
      <c r="C25" cm="1">
        <f t="array" ref="C25">SUMPRODUCT(((DATEDIF(HRDataset[Latest_DOB],$B$4,"Y")&gt;=$A25)*(DATEDIF(HRDataset[Latest_DOB],$B$4,"Y")&lt;$A25+10))*(HRDataset[Latest_DateofHire]&lt;$B$4)*((HRDataset[Latest_DateofTermination]="") +  ((HRDataset[Latest_DateofTermination]&gt;=$B$4)*(HRDataset[Latest_DateofTermination]&lt;&gt;"")) ) )</f>
        <v>52</v>
      </c>
      <c r="D25" cm="1">
        <f t="array" ref="D25">SUMPRODUCT(((DATEDIF(HRDataset[Latest_DOB],$B$4,"Y")&gt;=$A25)*(DATEDIF(HRDataset[Latest_DOB],$B$4,"Y")&lt;$A25+10))*(HRDataset[Latest_DateofHire]&lt;$B$4)*((HRDataset[Latest_DateofTermination]="")+((HRDataset[Latest_DateofTermination]&gt;=$B$4)*(HRDataset[Latest_DateofTermination]&lt;&gt;""))) * (HRDataset[GenderID]=0))</f>
        <v>27</v>
      </c>
      <c r="E25" cm="1">
        <f t="array" ref="E25">SUMPRODUCT(((DATEDIF(HRDataset[Latest_DOB],$B$4,"Y")&gt;=$A25)*(DATEDIF(HRDataset[Latest_DOB],$B$4,"Y")&lt;$A25+10))*(HRDataset[Latest_DateofHire]&lt;$B$4)*((HRDataset[Latest_DateofTermination]="")+((HRDataset[Latest_DateofTermination]&gt;=$B$4)*(HRDataset[Latest_DateofTermination]&lt;&gt;""))) * (HRDataset[GenderID]=1))</f>
        <v>25</v>
      </c>
    </row>
    <row r="26" spans="1:19" x14ac:dyDescent="0.2">
      <c r="A26">
        <v>45</v>
      </c>
      <c r="B26" t="s">
        <v>502</v>
      </c>
      <c r="C26" cm="1">
        <f t="array" ref="C26">SUMPRODUCT(((DATEDIF(HRDataset[Latest_DOB],$B$4,"Y")&gt;=$A26)*(DATEDIF(HRDataset[Latest_DOB],$B$4,"Y")&lt;$A26+10))*(HRDataset[Latest_DateofHire]&lt;$B$4)*((HRDataset[Latest_DateofTermination]="") +  ((HRDataset[Latest_DateofTermination]&gt;=$B$4)*(HRDataset[Latest_DateofTermination]&lt;&gt;"")) ) )</f>
        <v>20</v>
      </c>
      <c r="D26" cm="1">
        <f t="array" ref="D26">SUMPRODUCT(((DATEDIF(HRDataset[Latest_DOB],$B$4,"Y")&gt;=$A26)*(DATEDIF(HRDataset[Latest_DOB],$B$4,"Y")&lt;$A26+10))*(HRDataset[Latest_DateofHire]&lt;$B$4)*((HRDataset[Latest_DateofTermination]="")+((HRDataset[Latest_DateofTermination]&gt;=$B$4)*(HRDataset[Latest_DateofTermination]&lt;&gt;""))) * (HRDataset[GenderID]=0))</f>
        <v>13</v>
      </c>
      <c r="E26" cm="1">
        <f t="array" ref="E26">SUMPRODUCT(((DATEDIF(HRDataset[Latest_DOB],$B$4,"Y")&gt;=$A26)*(DATEDIF(HRDataset[Latest_DOB],$B$4,"Y")&lt;$A26+10))*(HRDataset[Latest_DateofHire]&lt;$B$4)*((HRDataset[Latest_DateofTermination]="")+((HRDataset[Latest_DateofTermination]&gt;=$B$4)*(HRDataset[Latest_DateofTermination]&lt;&gt;""))) * (HRDataset[GenderID]=1))</f>
        <v>7</v>
      </c>
    </row>
    <row r="27" spans="1:19" x14ac:dyDescent="0.2">
      <c r="A27">
        <v>55</v>
      </c>
      <c r="B27" t="s">
        <v>498</v>
      </c>
      <c r="C27" cm="1">
        <f t="array" ref="C27">SUMPRODUCT((DATEDIF(HRDataset[Latest_DOB],$B$4,"Y")&gt;=$A27)*(HRDataset[Latest_DateofHire]&lt;$B$4)*((HRDataset[Latest_DateofTermination]="") +  ((HRDataset[Latest_DateofTermination]&gt;=$B$4)*(HRDataset[Latest_DateofTermination]&lt;&gt;"")) ) )</f>
        <v>4</v>
      </c>
      <c r="D27" cm="1">
        <f t="array" ref="D27">SUMPRODUCT((DATEDIF(HRDataset[Latest_DOB],$B$4,"Y")&gt;=$A27)*(HRDataset[Latest_DateofHire]&lt;$B$4)*((HRDataset[Latest_DateofTermination]="")+((HRDataset[Latest_DateofTermination]&gt;=$B$4)*(HRDataset[Latest_DateofTermination]&lt;&gt;""))) * (HRDataset[GenderID]=0))</f>
        <v>3</v>
      </c>
      <c r="E27" cm="1">
        <f t="array" ref="E27">SUMPRODUCT((DATEDIF(HRDataset[Latest_DOB],$B$4,"Y")&gt;=$A27)*(HRDataset[Latest_DateofHire]&lt;$B$4)*((HRDataset[Latest_DateofTermination]="")+((HRDataset[Latest_DateofTermination]&gt;=$B$4)*(HRDataset[Latest_DateofTermination]&lt;&gt;""))) * (HRDataset[GenderID]=1))</f>
        <v>1</v>
      </c>
    </row>
    <row r="29" spans="1:19" x14ac:dyDescent="0.2">
      <c r="B29" t="s">
        <v>504</v>
      </c>
    </row>
    <row r="30" spans="1:19" x14ac:dyDescent="0.2">
      <c r="B30" s="5" t="s">
        <v>510</v>
      </c>
      <c r="C30" s="4" t="s">
        <v>493</v>
      </c>
      <c r="D30" s="4" t="s">
        <v>4</v>
      </c>
      <c r="E30" s="4" t="s">
        <v>3</v>
      </c>
    </row>
    <row r="31" spans="1:19" x14ac:dyDescent="0.2">
      <c r="A31">
        <v>1</v>
      </c>
      <c r="B31" t="s">
        <v>505</v>
      </c>
      <c r="C31" cm="1">
        <f t="array" ref="C31">SUMPRODUCT((DATEDIF(HRDataset[Latest_DateofHire],$B$4,"M")/12 &lt; $A31) * (HRDataset[Latest_DateofHire]&lt;$B$4)*((HRDataset[Latest_DateofTermination]="") +  ((HRDataset[Latest_DateofTermination]&gt;=$B$4)*(HRDataset[Latest_DateofTermination]&lt;&gt;"")) )  )</f>
        <v>1</v>
      </c>
      <c r="D31" cm="1">
        <f t="array" ref="D31">SUMPRODUCT((DATEDIF(HRDataset[Latest_DateofHire],$B$4,"M")/12 &lt; $A31) * (HRDataset[Latest_DateofHire]&lt;$B$4)*((HRDataset[Latest_DateofTermination]="") +  ((HRDataset[Latest_DateofTermination]&gt;=$B$4)*(HRDataset[Latest_DateofTermination]&lt;&gt;"")) )  * (HRDataset[GenderID]=0))</f>
        <v>0</v>
      </c>
      <c r="E31" cm="1">
        <f t="array" ref="E31">SUMPRODUCT((DATEDIF(HRDataset[Latest_DateofHire],$B$4,"M")/12 &lt; $A31) * (HRDataset[Latest_DateofHire]&lt;$B$4)*((HRDataset[Latest_DateofTermination]="") +  ((HRDataset[Latest_DateofTermination]&gt;=$B$4)*(HRDataset[Latest_DateofTermination]&lt;&gt;"")) )  * (HRDataset[GenderID]=1))</f>
        <v>1</v>
      </c>
      <c r="S31" s="2"/>
    </row>
    <row r="32" spans="1:19" x14ac:dyDescent="0.2">
      <c r="A32">
        <v>2</v>
      </c>
      <c r="B32" t="s">
        <v>506</v>
      </c>
      <c r="C32" cm="1">
        <f t="array" ref="C32">SUMPRODUCT((DATEDIF(HRDataset[Latest_DateofHire],$B$4,"M")/12 &lt; $A32) *  (DATEDIF(HRDataset[Latest_DateofHire],$B$4,"M")/12 &gt;= $A31) * (HRDataset[Latest_DateofHire]&lt;$B$4)*((HRDataset[Latest_DateofTermination]="") +  ((HRDataset[Latest_DateofTermination]&gt;=$B$4)*(HRDataset[Latest_DateofTermination]&lt;&gt;"")) ) )</f>
        <v>9</v>
      </c>
      <c r="D32" cm="1">
        <f t="array" ref="D32">SUMPRODUCT((DATEDIF(HRDataset[Latest_DateofHire],$B$4,"M")/12 &lt; $A32) *  (DATEDIF(HRDataset[Latest_DateofHire],$B$4,"M")/12 &gt;= $A31) * (HRDataset[Latest_DateofHire]&lt;$B$4)*((HRDataset[Latest_DateofTermination]="") +  ((HRDataset[Latest_DateofTermination]&gt;=$B$4)*(HRDataset[Latest_DateofTermination]&lt;&gt;"")) ) * (HRDataset[GenderID]=0))</f>
        <v>3</v>
      </c>
      <c r="E32" cm="1">
        <f t="array" ref="E32">SUMPRODUCT((DATEDIF(HRDataset[Latest_DateofHire],$B$4,"M")/12 &lt; $A32) *  (DATEDIF(HRDataset[Latest_DateofHire],$B$4,"M")/12 &gt;= $A31) * (HRDataset[Latest_DateofHire]&lt;$B$4)*((HRDataset[Latest_DateofTermination]="") +  ((HRDataset[Latest_DateofTermination]&gt;=$B$4)*(HRDataset[Latest_DateofTermination]&lt;&gt;"")) ) * (HRDataset[GenderID]=1))</f>
        <v>6</v>
      </c>
    </row>
    <row r="33" spans="1:5" x14ac:dyDescent="0.2">
      <c r="A33">
        <v>3</v>
      </c>
      <c r="B33" t="s">
        <v>507</v>
      </c>
      <c r="C33" cm="1">
        <f t="array" ref="C33">SUMPRODUCT((DATEDIF(HRDataset[Latest_DateofHire],$B$4,"M")/12 &lt; $A33) *  (DATEDIF(HRDataset[Latest_DateofHire],$B$4,"M")/12 &gt;= $A32) * (HRDataset[Latest_DateofHire]&lt;$B$4)*((HRDataset[Latest_DateofTermination]="") +  ((HRDataset[Latest_DateofTermination]&gt;=$B$4)*(HRDataset[Latest_DateofTermination]&lt;&gt;"")) ) )</f>
        <v>11</v>
      </c>
      <c r="D33" cm="1">
        <f t="array" ref="D33">SUMPRODUCT((DATEDIF(HRDataset[Latest_DateofHire],$B$4,"M")/12 &lt; $A33) *  (DATEDIF(HRDataset[Latest_DateofHire],$B$4,"M")/12 &gt;= $A32) * (HRDataset[Latest_DateofHire]&lt;$B$4)*((HRDataset[Latest_DateofTermination]="") +  ((HRDataset[Latest_DateofTermination]&gt;=$B$4)*(HRDataset[Latest_DateofTermination]&lt;&gt;"")) ) * (HRDataset[GenderID]=0))</f>
        <v>6</v>
      </c>
      <c r="E33" cm="1">
        <f t="array" ref="E33">SUMPRODUCT((DATEDIF(HRDataset[Latest_DateofHire],$B$4,"M")/12 &lt; $A33) *  (DATEDIF(HRDataset[Latest_DateofHire],$B$4,"M")/12 &gt;= $A32) * (HRDataset[Latest_DateofHire]&lt;$B$4)*((HRDataset[Latest_DateofTermination]="") +  ((HRDataset[Latest_DateofTermination]&gt;=$B$4)*(HRDataset[Latest_DateofTermination]&lt;&gt;"")) ) * (HRDataset[GenderID]=1))</f>
        <v>5</v>
      </c>
    </row>
    <row r="34" spans="1:5" x14ac:dyDescent="0.2">
      <c r="A34">
        <v>5</v>
      </c>
      <c r="B34" t="s">
        <v>508</v>
      </c>
      <c r="C34" cm="1">
        <f t="array" ref="C34">SUMPRODUCT((DATEDIF(HRDataset[Latest_DateofHire],$B$4,"M")/12 &lt; $A34) *  (DATEDIF(HRDataset[Latest_DateofHire],$B$4,"M")/12 &gt;= $A33) * (HRDataset[Latest_DateofHire]&lt;$B$4)*((HRDataset[Latest_DateofTermination]="") +  ((HRDataset[Latest_DateofTermination]&gt;=$B$4)*(HRDataset[Latest_DateofTermination]&lt;&gt;"")) ) )</f>
        <v>104</v>
      </c>
      <c r="D34" cm="1">
        <f t="array" ref="D34">SUMPRODUCT((DATEDIF(HRDataset[Latest_DateofHire],$B$4,"M")/12 &lt; $A34) *  (DATEDIF(HRDataset[Latest_DateofHire],$B$4,"M")/12 &gt;= $A33) * (HRDataset[Latest_DateofHire]&lt;$B$4)*((HRDataset[Latest_DateofTermination]="") +  ((HRDataset[Latest_DateofTermination]&gt;=$B$4)*(HRDataset[Latest_DateofTermination]&lt;&gt;"")) ) * (HRDataset[GenderID]=0))</f>
        <v>61</v>
      </c>
      <c r="E34" cm="1">
        <f t="array" ref="E34">SUMPRODUCT((DATEDIF(HRDataset[Latest_DateofHire],$B$4,"M")/12 &lt; $A34) *  (DATEDIF(HRDataset[Latest_DateofHire],$B$4,"M")/12 &gt;= $A33) * (HRDataset[Latest_DateofHire]&lt;$B$4)*((HRDataset[Latest_DateofTermination]="") +  ((HRDataset[Latest_DateofTermination]&gt;=$B$4)*(HRDataset[Latest_DateofTermination]&lt;&gt;"")) ) * (HRDataset[GenderID]=1))</f>
        <v>43</v>
      </c>
    </row>
    <row r="35" spans="1:5" x14ac:dyDescent="0.2">
      <c r="A35">
        <v>5</v>
      </c>
      <c r="B35" t="s">
        <v>509</v>
      </c>
      <c r="C35" cm="1">
        <f t="array" ref="C35">SUMPRODUCT( (DATEDIF(HRDataset[Latest_DateofHire],$B$4,"M")/12 &gt;= $A34) * (HRDataset[Latest_DateofHire]&lt;$B$4)*((HRDataset[Latest_DateofTermination]="") +  ((HRDataset[Latest_DateofTermination]&gt;=$B$4)*(HRDataset[Latest_DateofTermination]&lt;&gt;"")) ) )</f>
        <v>85</v>
      </c>
      <c r="D35" cm="1">
        <f t="array" ref="D35">SUMPRODUCT( (DATEDIF(HRDataset[Latest_DateofHire],$B$4,"M")/12 &gt;= $A34) * (HRDataset[Latest_DateofHire]&lt;$B$4)*((HRDataset[Latest_DateofTermination]="") +  ((HRDataset[Latest_DateofTermination]&gt;=$B$4)*(HRDataset[Latest_DateofTermination]&lt;&gt;"")) ) * (HRDataset[GenderID]=0))</f>
        <v>47</v>
      </c>
      <c r="E35" cm="1">
        <f t="array" ref="E35">SUMPRODUCT( (DATEDIF(HRDataset[Latest_DateofHire],$B$4,"M")/12 &gt;= $A34) * (HRDataset[Latest_DateofHire]&lt;$B$4)*((HRDataset[Latest_DateofTermination]="") +  ((HRDataset[Latest_DateofTermination]&gt;=$B$4)*(HRDataset[Latest_DateofTermination]&lt;&gt;"")) ) * (HRDataset[GenderID]=1))</f>
        <v>38</v>
      </c>
    </row>
    <row r="37" spans="1:5" x14ac:dyDescent="0.2">
      <c r="B37" t="s">
        <v>511</v>
      </c>
    </row>
    <row r="38" spans="1:5" x14ac:dyDescent="0.2">
      <c r="B38" s="5" t="s">
        <v>512</v>
      </c>
      <c r="C38" s="4" t="s">
        <v>493</v>
      </c>
      <c r="D38" s="4" t="s">
        <v>4</v>
      </c>
      <c r="E38" s="4" t="s">
        <v>3</v>
      </c>
    </row>
    <row r="39" spans="1:5" x14ac:dyDescent="0.2">
      <c r="B39" t="str" cm="1">
        <f t="array" ref="B39:B47">_xlfn._xlws.SORT(_xlfn.UNIQUE(HRDataset[RecruitmentSource]))</f>
        <v>CareerBuilder</v>
      </c>
      <c r="C39" cm="1">
        <f t="array" ref="C39">SUMPRODUCT((HRDataset[RecruitmentSource]=$B39)*(HRDataset[Latest_DateofHire]&lt;$B$4)*((HRDataset[Latest_DateofTermination]="")+((HRDataset[Latest_DateofTermination]&gt;=$B$4)*(HRDataset[Latest_DateofTermination]&lt;&gt;""))))</f>
        <v>13</v>
      </c>
      <c r="D39" cm="1">
        <f t="array" ref="D39">SUMPRODUCT((HRDataset[RecruitmentSource]=$B39)*(HRDataset[Latest_DateofHire]&lt;$B$4)*((HRDataset[Latest_DateofTermination]="")+((HRDataset[Latest_DateofTermination]&gt;=$B$4)*(HRDataset[Latest_DateofTermination]&lt;&gt;"")))*(HRDataset[GenderID]=0) )</f>
        <v>8</v>
      </c>
      <c r="E39" cm="1">
        <f t="array" ref="E39">SUMPRODUCT((HRDataset[RecruitmentSource]=$B39)*(HRDataset[Latest_DateofHire]&lt;$B$4)*((HRDataset[Latest_DateofTermination]="")+((HRDataset[Latest_DateofTermination]&gt;=$B$4)*(HRDataset[Latest_DateofTermination]&lt;&gt;"")))*(HRDataset[GenderID]=1) )</f>
        <v>5</v>
      </c>
    </row>
    <row r="40" spans="1:5" x14ac:dyDescent="0.2">
      <c r="B40" t="str">
        <v>Diversity Job Fair</v>
      </c>
      <c r="C40" cm="1">
        <f t="array" ref="C40">SUMPRODUCT((HRDataset[RecruitmentSource]=$B40)*(HRDataset[Latest_DateofHire]&lt;$B$4)*((HRDataset[Latest_DateofTermination]="")+((HRDataset[Latest_DateofTermination]&gt;=$B$4)*(HRDataset[Latest_DateofTermination]&lt;&gt;""))))</f>
        <v>13</v>
      </c>
      <c r="D40" cm="1">
        <f t="array" ref="D40">SUMPRODUCT((HRDataset[RecruitmentSource]=$B40)*(HRDataset[Latest_DateofHire]&lt;$B$4)*((HRDataset[Latest_DateofTermination]="")+((HRDataset[Latest_DateofTermination]&gt;=$B$4)*(HRDataset[Latest_DateofTermination]&lt;&gt;"")))*(HRDataset[GenderID]=0) )</f>
        <v>7</v>
      </c>
      <c r="E40" cm="1">
        <f t="array" ref="E40">SUMPRODUCT((HRDataset[RecruitmentSource]=$B40)*(HRDataset[Latest_DateofHire]&lt;$B$4)*((HRDataset[Latest_DateofTermination]="")+((HRDataset[Latest_DateofTermination]&gt;=$B$4)*(HRDataset[Latest_DateofTermination]&lt;&gt;"")))*(HRDataset[GenderID]=1) )</f>
        <v>6</v>
      </c>
    </row>
    <row r="41" spans="1:5" x14ac:dyDescent="0.2">
      <c r="B41" t="str">
        <v>Employee Referral</v>
      </c>
      <c r="C41" cm="1">
        <f t="array" ref="C41">SUMPRODUCT((HRDataset[RecruitmentSource]=$B41)*(HRDataset[Latest_DateofHire]&lt;$B$4)*((HRDataset[Latest_DateofTermination]="")+((HRDataset[Latest_DateofTermination]&gt;=$B$4)*(HRDataset[Latest_DateofTermination]&lt;&gt;""))))</f>
        <v>27</v>
      </c>
      <c r="D41" cm="1">
        <f t="array" ref="D41">SUMPRODUCT((HRDataset[RecruitmentSource]=$B41)*(HRDataset[Latest_DateofHire]&lt;$B$4)*((HRDataset[Latest_DateofTermination]="")+((HRDataset[Latest_DateofTermination]&gt;=$B$4)*(HRDataset[Latest_DateofTermination]&lt;&gt;"")))*(HRDataset[GenderID]=0) )</f>
        <v>11</v>
      </c>
      <c r="E41" cm="1">
        <f t="array" ref="E41">SUMPRODUCT((HRDataset[RecruitmentSource]=$B41)*(HRDataset[Latest_DateofHire]&lt;$B$4)*((HRDataset[Latest_DateofTermination]="")+((HRDataset[Latest_DateofTermination]&gt;=$B$4)*(HRDataset[Latest_DateofTermination]&lt;&gt;"")))*(HRDataset[GenderID]=1) )</f>
        <v>16</v>
      </c>
    </row>
    <row r="42" spans="1:5" x14ac:dyDescent="0.2">
      <c r="B42" t="str">
        <v>Google Search</v>
      </c>
      <c r="C42" cm="1">
        <f t="array" ref="C42">SUMPRODUCT((HRDataset[RecruitmentSource]=$B42)*(HRDataset[Latest_DateofHire]&lt;$B$4)*((HRDataset[Latest_DateofTermination]="")+((HRDataset[Latest_DateofTermination]&gt;=$B$4)*(HRDataset[Latest_DateofTermination]&lt;&gt;""))))</f>
        <v>20</v>
      </c>
      <c r="D42" cm="1">
        <f t="array" ref="D42">SUMPRODUCT((HRDataset[RecruitmentSource]=$B42)*(HRDataset[Latest_DateofHire]&lt;$B$4)*((HRDataset[Latest_DateofTermination]="")+((HRDataset[Latest_DateofTermination]&gt;=$B$4)*(HRDataset[Latest_DateofTermination]&lt;&gt;"")))*(HRDataset[GenderID]=0) )</f>
        <v>11</v>
      </c>
      <c r="E42" cm="1">
        <f t="array" ref="E42">SUMPRODUCT((HRDataset[RecruitmentSource]=$B42)*(HRDataset[Latest_DateofHire]&lt;$B$4)*((HRDataset[Latest_DateofTermination]="")+((HRDataset[Latest_DateofTermination]&gt;=$B$4)*(HRDataset[Latest_DateofTermination]&lt;&gt;"")))*(HRDataset[GenderID]=1) )</f>
        <v>9</v>
      </c>
    </row>
    <row r="43" spans="1:5" x14ac:dyDescent="0.2">
      <c r="B43" t="str">
        <v>Indeed</v>
      </c>
      <c r="C43" cm="1">
        <f t="array" ref="C43">SUMPRODUCT((HRDataset[RecruitmentSource]=$B43)*(HRDataset[Latest_DateofHire]&lt;$B$4)*((HRDataset[Latest_DateofTermination]="")+((HRDataset[Latest_DateofTermination]&gt;=$B$4)*(HRDataset[Latest_DateofTermination]&lt;&gt;""))))</f>
        <v>66</v>
      </c>
      <c r="D43" cm="1">
        <f t="array" ref="D43">SUMPRODUCT((HRDataset[RecruitmentSource]=$B43)*(HRDataset[Latest_DateofHire]&lt;$B$4)*((HRDataset[Latest_DateofTermination]="")+((HRDataset[Latest_DateofTermination]&gt;=$B$4)*(HRDataset[Latest_DateofTermination]&lt;&gt;"")))*(HRDataset[GenderID]=0) )</f>
        <v>38</v>
      </c>
      <c r="E43" cm="1">
        <f t="array" ref="E43">SUMPRODUCT((HRDataset[RecruitmentSource]=$B43)*(HRDataset[Latest_DateofHire]&lt;$B$4)*((HRDataset[Latest_DateofTermination]="")+((HRDataset[Latest_DateofTermination]&gt;=$B$4)*(HRDataset[Latest_DateofTermination]&lt;&gt;"")))*(HRDataset[GenderID]=1) )</f>
        <v>28</v>
      </c>
    </row>
    <row r="44" spans="1:5" x14ac:dyDescent="0.2">
      <c r="B44" t="str">
        <v>LinkedIn</v>
      </c>
      <c r="C44" cm="1">
        <f t="array" ref="C44">SUMPRODUCT((HRDataset[RecruitmentSource]=$B44)*(HRDataset[Latest_DateofHire]&lt;$B$4)*((HRDataset[Latest_DateofTermination]="")+((HRDataset[Latest_DateofTermination]&gt;=$B$4)*(HRDataset[Latest_DateofTermination]&lt;&gt;""))))</f>
        <v>58</v>
      </c>
      <c r="D44" cm="1">
        <f t="array" ref="D44">SUMPRODUCT((HRDataset[RecruitmentSource]=$B44)*(HRDataset[Latest_DateofHire]&lt;$B$4)*((HRDataset[Latest_DateofTermination]="")+((HRDataset[Latest_DateofTermination]&gt;=$B$4)*(HRDataset[Latest_DateofTermination]&lt;&gt;"")))*(HRDataset[GenderID]=0) )</f>
        <v>35</v>
      </c>
      <c r="E44" cm="1">
        <f t="array" ref="E44">SUMPRODUCT((HRDataset[RecruitmentSource]=$B44)*(HRDataset[Latest_DateofHire]&lt;$B$4)*((HRDataset[Latest_DateofTermination]="")+((HRDataset[Latest_DateofTermination]&gt;=$B$4)*(HRDataset[Latest_DateofTermination]&lt;&gt;"")))*(HRDataset[GenderID]=1) )</f>
        <v>23</v>
      </c>
    </row>
    <row r="45" spans="1:5" x14ac:dyDescent="0.2">
      <c r="B45" t="str">
        <v>On-line Web application</v>
      </c>
      <c r="C45" cm="1">
        <f t="array" ref="C45">SUMPRODUCT((HRDataset[RecruitmentSource]=$B45)*(HRDataset[Latest_DateofHire]&lt;$B$4)*((HRDataset[Latest_DateofTermination]="")+((HRDataset[Latest_DateofTermination]&gt;=$B$4)*(HRDataset[Latest_DateofTermination]&lt;&gt;""))))</f>
        <v>0</v>
      </c>
      <c r="D45" cm="1">
        <f t="array" ref="D45">SUMPRODUCT((HRDataset[RecruitmentSource]=$B45)*(HRDataset[Latest_DateofHire]&lt;$B$4)*((HRDataset[Latest_DateofTermination]="")+((HRDataset[Latest_DateofTermination]&gt;=$B$4)*(HRDataset[Latest_DateofTermination]&lt;&gt;"")))*(HRDataset[GenderID]=0) )</f>
        <v>0</v>
      </c>
      <c r="E45" cm="1">
        <f t="array" ref="E45">SUMPRODUCT((HRDataset[RecruitmentSource]=$B45)*(HRDataset[Latest_DateofHire]&lt;$B$4)*((HRDataset[Latest_DateofTermination]="")+((HRDataset[Latest_DateofTermination]&gt;=$B$4)*(HRDataset[Latest_DateofTermination]&lt;&gt;"")))*(HRDataset[GenderID]=1) )</f>
        <v>0</v>
      </c>
    </row>
    <row r="46" spans="1:5" x14ac:dyDescent="0.2">
      <c r="B46" t="str">
        <v>Other</v>
      </c>
      <c r="C46" cm="1">
        <f t="array" ref="C46">SUMPRODUCT((HRDataset[RecruitmentSource]=$B46)*(HRDataset[Latest_DateofHire]&lt;$B$4)*((HRDataset[Latest_DateofTermination]="")+((HRDataset[Latest_DateofTermination]&gt;=$B$4)*(HRDataset[Latest_DateofTermination]&lt;&gt;""))))</f>
        <v>1</v>
      </c>
      <c r="D46" cm="1">
        <f t="array" ref="D46">SUMPRODUCT((HRDataset[RecruitmentSource]=$B46)*(HRDataset[Latest_DateofHire]&lt;$B$4)*((HRDataset[Latest_DateofTermination]="")+((HRDataset[Latest_DateofTermination]&gt;=$B$4)*(HRDataset[Latest_DateofTermination]&lt;&gt;"")))*(HRDataset[GenderID]=0) )</f>
        <v>1</v>
      </c>
      <c r="E46" cm="1">
        <f t="array" ref="E46">SUMPRODUCT((HRDataset[RecruitmentSource]=$B46)*(HRDataset[Latest_DateofHire]&lt;$B$4)*((HRDataset[Latest_DateofTermination]="")+((HRDataset[Latest_DateofTermination]&gt;=$B$4)*(HRDataset[Latest_DateofTermination]&lt;&gt;"")))*(HRDataset[GenderID]=1) )</f>
        <v>0</v>
      </c>
    </row>
    <row r="47" spans="1:5" x14ac:dyDescent="0.2">
      <c r="B47" t="str">
        <v>Website</v>
      </c>
      <c r="C47" cm="1">
        <f t="array" ref="C47">SUMPRODUCT((HRDataset[RecruitmentSource]=$B47)*(HRDataset[Latest_DateofHire]&lt;$B$4)*((HRDataset[Latest_DateofTermination]="")+((HRDataset[Latest_DateofTermination]&gt;=$B$4)*(HRDataset[Latest_DateofTermination]&lt;&gt;""))))</f>
        <v>12</v>
      </c>
      <c r="D47" cm="1">
        <f t="array" ref="D47">SUMPRODUCT((HRDataset[RecruitmentSource]=$B47)*(HRDataset[Latest_DateofHire]&lt;$B$4)*((HRDataset[Latest_DateofTermination]="")+((HRDataset[Latest_DateofTermination]&gt;=$B$4)*(HRDataset[Latest_DateofTermination]&lt;&gt;"")))*(HRDataset[GenderID]=0) )</f>
        <v>6</v>
      </c>
      <c r="E47" cm="1">
        <f t="array" ref="E47">SUMPRODUCT((HRDataset[RecruitmentSource]=$B47)*(HRDataset[Latest_DateofHire]&lt;$B$4)*((HRDataset[Latest_DateofTermination]="")+((HRDataset[Latest_DateofTermination]&gt;=$B$4)*(HRDataset[Latest_DateofTermination]&lt;&gt;"")))*(HRDataset[GenderID]=1) )</f>
        <v>6</v>
      </c>
    </row>
    <row r="49" spans="2:5" x14ac:dyDescent="0.2">
      <c r="B49" t="s">
        <v>513</v>
      </c>
    </row>
    <row r="50" spans="2:5" x14ac:dyDescent="0.2">
      <c r="B50" s="5" t="s">
        <v>514</v>
      </c>
      <c r="C50" s="4" t="s">
        <v>493</v>
      </c>
      <c r="D50" s="4" t="s">
        <v>4</v>
      </c>
      <c r="E50" s="4" t="s">
        <v>3</v>
      </c>
    </row>
    <row r="51" spans="2:5" x14ac:dyDescent="0.2">
      <c r="B51" t="str" cm="1">
        <f t="array" ref="B51:B54">_xlfn._xlws.SORT(_xlfn.UNIQUE(HRDataset[PerformanceScore]))</f>
        <v>Exceeds</v>
      </c>
      <c r="C51" cm="1">
        <f t="array" ref="C51">SUMPRODUCT( (HRDataset[PerformanceScore]=$B51)*(HRDataset[Latest_DateofHire]&lt;$B$4)*((HRDataset[Latest_DateofTermination]="")+((HRDataset[Latest_DateofTermination]&gt;=$B$4)*(HRDataset[Latest_DateofTermination]&lt;&gt;""))) )</f>
        <v>29</v>
      </c>
      <c r="D51" cm="1">
        <f t="array" ref="D51">SUMPRODUCT((HRDataset[PerformanceScore]=$B51)*(HRDataset[Latest_DateofHire]&lt;$B$4)*((HRDataset[Latest_DateofTermination]="")+((HRDataset[Latest_DateofTermination]&gt;=$B$4)*(HRDataset[Latest_DateofTermination]&lt;&gt;"")))*(HRDataset[GenderID]=0))</f>
        <v>16</v>
      </c>
      <c r="E51" cm="1">
        <f t="array" ref="E51">SUMPRODUCT((HRDataset[PerformanceScore]=$B51)*(HRDataset[Latest_DateofHire]&lt;$B$4)*((HRDataset[Latest_DateofTermination]="")+((HRDataset[Latest_DateofTermination]&gt;=$B$4)*(HRDataset[Latest_DateofTermination]&lt;&gt;"")))*(HRDataset[GenderID]=1))</f>
        <v>13</v>
      </c>
    </row>
    <row r="52" spans="2:5" x14ac:dyDescent="0.2">
      <c r="B52" t="str">
        <v>Fully Meets</v>
      </c>
      <c r="C52" cm="1">
        <f t="array" ref="C52">SUMPRODUCT( (HRDataset[PerformanceScore]=$B52)*(HRDataset[Latest_DateofHire]&lt;$B$4)*((HRDataset[Latest_DateofTermination]="")+((HRDataset[Latest_DateofTermination]&gt;=$B$4)*(HRDataset[Latest_DateofTermination]&lt;&gt;""))) )</f>
        <v>164</v>
      </c>
      <c r="D52" cm="1">
        <f t="array" ref="D52">SUMPRODUCT((HRDataset[PerformanceScore]=$B52)*(HRDataset[Latest_DateofHire]&lt;$B$4)*((HRDataset[Latest_DateofTermination]="")+((HRDataset[Latest_DateofTermination]&gt;=$B$4)*(HRDataset[Latest_DateofTermination]&lt;&gt;"")))*(HRDataset[GenderID]=0))</f>
        <v>94</v>
      </c>
      <c r="E52" cm="1">
        <f t="array" ref="E52">SUMPRODUCT((HRDataset[PerformanceScore]=$B52)*(HRDataset[Latest_DateofHire]&lt;$B$4)*((HRDataset[Latest_DateofTermination]="")+((HRDataset[Latest_DateofTermination]&gt;=$B$4)*(HRDataset[Latest_DateofTermination]&lt;&gt;"")))*(HRDataset[GenderID]=1))</f>
        <v>70</v>
      </c>
    </row>
    <row r="53" spans="2:5" x14ac:dyDescent="0.2">
      <c r="B53" t="str">
        <v>Needs Improvement</v>
      </c>
      <c r="C53" cm="1">
        <f t="array" ref="C53">SUMPRODUCT( (HRDataset[PerformanceScore]=$B53)*(HRDataset[Latest_DateofHire]&lt;$B$4)*((HRDataset[Latest_DateofTermination]="")+((HRDataset[Latest_DateofTermination]&gt;=$B$4)*(HRDataset[Latest_DateofTermination]&lt;&gt;""))) )</f>
        <v>8</v>
      </c>
      <c r="D53" cm="1">
        <f t="array" ref="D53">SUMPRODUCT((HRDataset[PerformanceScore]=$B53)*(HRDataset[Latest_DateofHire]&lt;$B$4)*((HRDataset[Latest_DateofTermination]="")+((HRDataset[Latest_DateofTermination]&gt;=$B$4)*(HRDataset[Latest_DateofTermination]&lt;&gt;"")))*(HRDataset[GenderID]=0))</f>
        <v>4</v>
      </c>
      <c r="E53" cm="1">
        <f t="array" ref="E53">SUMPRODUCT((HRDataset[PerformanceScore]=$B53)*(HRDataset[Latest_DateofHire]&lt;$B$4)*((HRDataset[Latest_DateofTermination]="")+((HRDataset[Latest_DateofTermination]&gt;=$B$4)*(HRDataset[Latest_DateofTermination]&lt;&gt;"")))*(HRDataset[GenderID]=1))</f>
        <v>4</v>
      </c>
    </row>
    <row r="54" spans="2:5" x14ac:dyDescent="0.2">
      <c r="B54" t="str">
        <v>PIP</v>
      </c>
      <c r="C54" cm="1">
        <f t="array" ref="C54">SUMPRODUCT( (HRDataset[PerformanceScore]=$B54)*(HRDataset[Latest_DateofHire]&lt;$B$4)*((HRDataset[Latest_DateofTermination]="")+((HRDataset[Latest_DateofTermination]&gt;=$B$4)*(HRDataset[Latest_DateofTermination]&lt;&gt;""))) )</f>
        <v>9</v>
      </c>
      <c r="D54" cm="1">
        <f t="array" ref="D54">SUMPRODUCT((HRDataset[PerformanceScore]=$B54)*(HRDataset[Latest_DateofHire]&lt;$B$4)*((HRDataset[Latest_DateofTermination]="")+((HRDataset[Latest_DateofTermination]&gt;=$B$4)*(HRDataset[Latest_DateofTermination]&lt;&gt;"")))*(HRDataset[GenderID]=0))</f>
        <v>3</v>
      </c>
      <c r="E54" cm="1">
        <f t="array" ref="E54">SUMPRODUCT((HRDataset[PerformanceScore]=$B54)*(HRDataset[Latest_DateofHire]&lt;$B$4)*((HRDataset[Latest_DateofTermination]="")+((HRDataset[Latest_DateofTermination]&gt;=$B$4)*(HRDataset[Latest_DateofTermination]&lt;&gt;"")))*(HRDataset[GenderID]=1))</f>
        <v>6</v>
      </c>
    </row>
  </sheetData>
  <sheetProtection algorithmName="SHA-512" hashValue="CaE66CD6fh6NW7nLUavvSEa2N/1cK7WibXfSxUwIPz+Lvs/8SloDclqN9yU1R/7xJKRLxJZvL0fyBmdd7O7rwg==" saltValue="ApMap76IvtV8rZL/C5VRwQ==" spinCount="100000" sheet="1" objects="1" scenarios="1"/>
  <dataConsolidate/>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8D1B-584D-804C-97D5-2DC50CB5FA91}">
  <dimension ref="B12:Q78"/>
  <sheetViews>
    <sheetView showGridLines="0" zoomScaleNormal="100" workbookViewId="0">
      <selection activeCell="A8" sqref="A8"/>
    </sheetView>
  </sheetViews>
  <sheetFormatPr baseColWidth="10" defaultRowHeight="16" x14ac:dyDescent="0.2"/>
  <cols>
    <col min="2" max="2" width="20.83203125" bestFit="1" customWidth="1"/>
    <col min="3" max="3" width="4.1640625" bestFit="1" customWidth="1"/>
    <col min="4" max="4" width="18.1640625" bestFit="1" customWidth="1"/>
    <col min="5" max="6" width="6.5" bestFit="1" customWidth="1"/>
    <col min="7" max="7" width="10.5" bestFit="1" customWidth="1"/>
    <col min="10" max="10" width="13" bestFit="1" customWidth="1"/>
    <col min="11" max="11" width="16" bestFit="1" customWidth="1"/>
    <col min="12" max="12" width="3.1640625" bestFit="1" customWidth="1"/>
    <col min="13" max="13" width="10.5" bestFit="1" customWidth="1"/>
    <col min="14" max="14" width="12.1640625" bestFit="1" customWidth="1"/>
    <col min="15" max="16" width="6.5" bestFit="1" customWidth="1"/>
    <col min="17" max="18" width="10.5" bestFit="1" customWidth="1"/>
  </cols>
  <sheetData>
    <row r="12" spans="4:7" x14ac:dyDescent="0.2">
      <c r="D12" s="7" t="s">
        <v>523</v>
      </c>
      <c r="E12" s="7" t="s">
        <v>23</v>
      </c>
    </row>
    <row r="13" spans="4:7" x14ac:dyDescent="0.2">
      <c r="D13" s="7" t="s">
        <v>1</v>
      </c>
      <c r="E13" t="s">
        <v>67</v>
      </c>
      <c r="F13" t="s">
        <v>45</v>
      </c>
      <c r="G13" t="s">
        <v>522</v>
      </c>
    </row>
    <row r="14" spans="4:7" x14ac:dyDescent="0.2">
      <c r="D14" t="s">
        <v>132</v>
      </c>
      <c r="E14" s="15">
        <v>4</v>
      </c>
      <c r="F14" s="15">
        <v>3</v>
      </c>
      <c r="G14" s="15">
        <v>7</v>
      </c>
    </row>
    <row r="15" spans="4:7" x14ac:dyDescent="0.2">
      <c r="D15" t="s">
        <v>306</v>
      </c>
      <c r="E15" s="15">
        <v>1</v>
      </c>
      <c r="F15" s="15"/>
      <c r="G15" s="15">
        <v>1</v>
      </c>
    </row>
    <row r="16" spans="4:7" x14ac:dyDescent="0.2">
      <c r="D16" t="s">
        <v>61</v>
      </c>
      <c r="E16" s="15">
        <v>19</v>
      </c>
      <c r="F16" s="15">
        <v>21</v>
      </c>
      <c r="G16" s="15">
        <v>40</v>
      </c>
    </row>
    <row r="17" spans="4:17" x14ac:dyDescent="0.2">
      <c r="D17" t="s">
        <v>52</v>
      </c>
      <c r="E17" s="15">
        <v>76</v>
      </c>
      <c r="F17" s="15">
        <v>52</v>
      </c>
      <c r="G17" s="15">
        <v>128</v>
      </c>
    </row>
    <row r="18" spans="4:17" x14ac:dyDescent="0.2">
      <c r="D18" t="s">
        <v>5</v>
      </c>
      <c r="E18" s="15">
        <v>12</v>
      </c>
      <c r="F18" s="15">
        <v>15</v>
      </c>
      <c r="G18" s="15">
        <v>27</v>
      </c>
    </row>
    <row r="19" spans="4:17" x14ac:dyDescent="0.2">
      <c r="D19" t="s">
        <v>81</v>
      </c>
      <c r="E19" s="15">
        <v>5</v>
      </c>
      <c r="F19" s="15">
        <v>2</v>
      </c>
      <c r="G19" s="15">
        <v>7</v>
      </c>
    </row>
    <row r="20" spans="4:17" x14ac:dyDescent="0.2">
      <c r="D20" t="s">
        <v>522</v>
      </c>
      <c r="E20" s="15">
        <v>117</v>
      </c>
      <c r="F20" s="15">
        <v>93</v>
      </c>
      <c r="G20" s="15">
        <v>210</v>
      </c>
    </row>
    <row r="22" spans="4:17" x14ac:dyDescent="0.2">
      <c r="N22" s="7" t="s">
        <v>523</v>
      </c>
      <c r="O22" s="7" t="s">
        <v>23</v>
      </c>
    </row>
    <row r="23" spans="4:17" x14ac:dyDescent="0.2">
      <c r="N23" s="7" t="s">
        <v>497</v>
      </c>
      <c r="O23" t="s">
        <v>67</v>
      </c>
      <c r="P23" t="s">
        <v>45</v>
      </c>
      <c r="Q23" t="s">
        <v>522</v>
      </c>
    </row>
    <row r="24" spans="4:17" x14ac:dyDescent="0.2">
      <c r="N24" t="s">
        <v>499</v>
      </c>
      <c r="O24" s="15">
        <v>16</v>
      </c>
      <c r="P24" s="15">
        <v>7</v>
      </c>
      <c r="Q24" s="15">
        <v>23</v>
      </c>
    </row>
    <row r="25" spans="4:17" x14ac:dyDescent="0.2">
      <c r="N25" t="s">
        <v>500</v>
      </c>
      <c r="O25" s="15">
        <v>57</v>
      </c>
      <c r="P25" s="15">
        <v>52</v>
      </c>
      <c r="Q25" s="15">
        <v>109</v>
      </c>
    </row>
    <row r="26" spans="4:17" x14ac:dyDescent="0.2">
      <c r="N26" t="s">
        <v>501</v>
      </c>
      <c r="O26" s="15">
        <v>27</v>
      </c>
      <c r="P26" s="15">
        <v>26</v>
      </c>
      <c r="Q26" s="15">
        <v>53</v>
      </c>
    </row>
    <row r="27" spans="4:17" x14ac:dyDescent="0.2">
      <c r="N27" t="s">
        <v>502</v>
      </c>
      <c r="O27" s="15">
        <v>14</v>
      </c>
      <c r="P27" s="15">
        <v>7</v>
      </c>
      <c r="Q27" s="15">
        <v>21</v>
      </c>
    </row>
    <row r="28" spans="4:17" x14ac:dyDescent="0.2">
      <c r="N28" t="s">
        <v>518</v>
      </c>
      <c r="O28" s="15">
        <v>3</v>
      </c>
      <c r="P28" s="15">
        <v>1</v>
      </c>
      <c r="Q28" s="15">
        <v>4</v>
      </c>
    </row>
    <row r="29" spans="4:17" x14ac:dyDescent="0.2">
      <c r="N29" t="s">
        <v>522</v>
      </c>
      <c r="O29" s="15">
        <v>117</v>
      </c>
      <c r="P29" s="15">
        <v>93</v>
      </c>
      <c r="Q29" s="15">
        <v>210</v>
      </c>
    </row>
    <row r="36" spans="2:5" x14ac:dyDescent="0.2">
      <c r="B36" s="7" t="s">
        <v>523</v>
      </c>
      <c r="C36" s="7" t="s">
        <v>23</v>
      </c>
    </row>
    <row r="37" spans="2:5" x14ac:dyDescent="0.2">
      <c r="B37" s="7" t="s">
        <v>539</v>
      </c>
      <c r="C37" t="s">
        <v>67</v>
      </c>
      <c r="D37" t="s">
        <v>45</v>
      </c>
      <c r="E37" s="8" t="s">
        <v>522</v>
      </c>
    </row>
    <row r="38" spans="2:5" x14ac:dyDescent="0.2">
      <c r="B38" t="s">
        <v>123</v>
      </c>
      <c r="C38" s="15">
        <v>8</v>
      </c>
      <c r="D38" s="15">
        <v>5</v>
      </c>
      <c r="E38" s="15">
        <v>13</v>
      </c>
    </row>
    <row r="39" spans="2:5" x14ac:dyDescent="0.2">
      <c r="B39" t="s">
        <v>90</v>
      </c>
      <c r="C39" s="15">
        <v>7</v>
      </c>
      <c r="D39" s="15">
        <v>6</v>
      </c>
      <c r="E39" s="15">
        <v>13</v>
      </c>
    </row>
    <row r="40" spans="2:5" x14ac:dyDescent="0.2">
      <c r="B40" t="s">
        <v>86</v>
      </c>
      <c r="C40" s="15">
        <v>11</v>
      </c>
      <c r="D40" s="15">
        <v>16</v>
      </c>
      <c r="E40" s="15">
        <v>27</v>
      </c>
    </row>
    <row r="41" spans="2:5" x14ac:dyDescent="0.2">
      <c r="B41" t="s">
        <v>76</v>
      </c>
      <c r="C41" s="15">
        <v>11</v>
      </c>
      <c r="D41" s="15">
        <v>9</v>
      </c>
      <c r="E41" s="15">
        <v>20</v>
      </c>
    </row>
    <row r="42" spans="2:5" x14ac:dyDescent="0.2">
      <c r="B42" t="s">
        <v>63</v>
      </c>
      <c r="C42" s="15">
        <v>38</v>
      </c>
      <c r="D42" s="15">
        <v>28</v>
      </c>
      <c r="E42" s="15">
        <v>66</v>
      </c>
    </row>
    <row r="43" spans="2:5" x14ac:dyDescent="0.2">
      <c r="B43" t="s">
        <v>54</v>
      </c>
      <c r="C43" s="15">
        <v>35</v>
      </c>
      <c r="D43" s="15">
        <v>23</v>
      </c>
      <c r="E43" s="15">
        <v>58</v>
      </c>
    </row>
    <row r="44" spans="2:5" x14ac:dyDescent="0.2">
      <c r="B44" t="s">
        <v>107</v>
      </c>
      <c r="C44" s="15"/>
      <c r="D44" s="15">
        <v>0</v>
      </c>
      <c r="E44" s="15">
        <v>0</v>
      </c>
    </row>
    <row r="45" spans="2:5" x14ac:dyDescent="0.2">
      <c r="B45" t="s">
        <v>6</v>
      </c>
      <c r="C45" s="15">
        <v>1</v>
      </c>
      <c r="D45" s="15">
        <v>0</v>
      </c>
      <c r="E45" s="15">
        <v>1</v>
      </c>
    </row>
    <row r="46" spans="2:5" x14ac:dyDescent="0.2">
      <c r="B46" t="s">
        <v>206</v>
      </c>
      <c r="C46" s="15">
        <v>6</v>
      </c>
      <c r="D46" s="15">
        <v>6</v>
      </c>
      <c r="E46" s="15">
        <v>12</v>
      </c>
    </row>
    <row r="47" spans="2:5" x14ac:dyDescent="0.2">
      <c r="B47" t="s">
        <v>522</v>
      </c>
      <c r="C47" s="15">
        <v>117</v>
      </c>
      <c r="D47" s="15">
        <v>93</v>
      </c>
      <c r="E47" s="15">
        <v>210</v>
      </c>
    </row>
    <row r="49" spans="2:17" x14ac:dyDescent="0.2">
      <c r="N49" s="7" t="s">
        <v>523</v>
      </c>
      <c r="O49" s="7" t="s">
        <v>23</v>
      </c>
    </row>
    <row r="50" spans="2:17" x14ac:dyDescent="0.2">
      <c r="N50" s="7" t="s">
        <v>520</v>
      </c>
      <c r="O50" t="s">
        <v>67</v>
      </c>
      <c r="P50" t="s">
        <v>45</v>
      </c>
      <c r="Q50" s="8" t="s">
        <v>522</v>
      </c>
    </row>
    <row r="51" spans="2:17" x14ac:dyDescent="0.2">
      <c r="N51" t="s">
        <v>505</v>
      </c>
      <c r="O51" s="15"/>
      <c r="P51" s="15">
        <v>1</v>
      </c>
      <c r="Q51" s="15">
        <v>1</v>
      </c>
    </row>
    <row r="52" spans="2:17" x14ac:dyDescent="0.2">
      <c r="N52" t="s">
        <v>521</v>
      </c>
      <c r="O52" s="15">
        <v>47</v>
      </c>
      <c r="P52" s="15">
        <v>38</v>
      </c>
      <c r="Q52" s="15">
        <v>85</v>
      </c>
    </row>
    <row r="53" spans="2:17" x14ac:dyDescent="0.2">
      <c r="N53" t="s">
        <v>506</v>
      </c>
      <c r="O53" s="15">
        <v>3</v>
      </c>
      <c r="P53" s="15">
        <v>6</v>
      </c>
      <c r="Q53" s="15">
        <v>9</v>
      </c>
    </row>
    <row r="54" spans="2:17" x14ac:dyDescent="0.2">
      <c r="N54" t="s">
        <v>507</v>
      </c>
      <c r="O54" s="15">
        <v>6</v>
      </c>
      <c r="P54" s="15">
        <v>5</v>
      </c>
      <c r="Q54" s="15">
        <v>11</v>
      </c>
    </row>
    <row r="55" spans="2:17" x14ac:dyDescent="0.2">
      <c r="N55" t="s">
        <v>508</v>
      </c>
      <c r="O55" s="15">
        <v>61</v>
      </c>
      <c r="P55" s="15">
        <v>43</v>
      </c>
      <c r="Q55" s="15">
        <v>104</v>
      </c>
    </row>
    <row r="56" spans="2:17" x14ac:dyDescent="0.2">
      <c r="N56" t="s">
        <v>522</v>
      </c>
      <c r="O56" s="15">
        <v>117</v>
      </c>
      <c r="P56" s="15">
        <v>93</v>
      </c>
      <c r="Q56" s="15">
        <v>210</v>
      </c>
    </row>
    <row r="58" spans="2:17" x14ac:dyDescent="0.2">
      <c r="B58" s="5" t="s">
        <v>529</v>
      </c>
    </row>
    <row r="60" spans="2:17" x14ac:dyDescent="0.2">
      <c r="B60" s="7" t="s">
        <v>523</v>
      </c>
      <c r="C60" s="7" t="s">
        <v>37</v>
      </c>
    </row>
    <row r="61" spans="2:17" x14ac:dyDescent="0.2">
      <c r="B61" s="7" t="s">
        <v>525</v>
      </c>
      <c r="C61">
        <v>1</v>
      </c>
      <c r="D61">
        <v>2</v>
      </c>
      <c r="E61">
        <v>3</v>
      </c>
      <c r="F61">
        <v>4</v>
      </c>
      <c r="G61">
        <v>5</v>
      </c>
      <c r="H61" s="8" t="s">
        <v>522</v>
      </c>
    </row>
    <row r="62" spans="2:17" x14ac:dyDescent="0.2">
      <c r="B62" t="s">
        <v>196</v>
      </c>
      <c r="C62" s="15">
        <v>2</v>
      </c>
      <c r="D62" s="15">
        <v>3</v>
      </c>
      <c r="E62" s="15">
        <v>2</v>
      </c>
      <c r="F62" s="15"/>
      <c r="G62" s="15">
        <v>2</v>
      </c>
      <c r="H62" s="15">
        <v>9</v>
      </c>
    </row>
    <row r="63" spans="2:17" x14ac:dyDescent="0.2">
      <c r="B63" t="s">
        <v>124</v>
      </c>
      <c r="C63" s="15"/>
      <c r="D63" s="15">
        <v>1</v>
      </c>
      <c r="E63" s="15">
        <v>3</v>
      </c>
      <c r="F63" s="15">
        <v>3</v>
      </c>
      <c r="G63" s="15">
        <v>1</v>
      </c>
      <c r="H63" s="15">
        <v>8</v>
      </c>
    </row>
    <row r="64" spans="2:17" x14ac:dyDescent="0.2">
      <c r="B64" t="s">
        <v>64</v>
      </c>
      <c r="C64" s="15"/>
      <c r="D64" s="15">
        <v>1</v>
      </c>
      <c r="E64" s="15">
        <v>61</v>
      </c>
      <c r="F64" s="15">
        <v>45</v>
      </c>
      <c r="G64" s="15">
        <v>57</v>
      </c>
      <c r="H64" s="15">
        <v>164</v>
      </c>
    </row>
    <row r="65" spans="2:17" x14ac:dyDescent="0.2">
      <c r="B65" t="s">
        <v>55</v>
      </c>
      <c r="C65" s="15"/>
      <c r="D65" s="15"/>
      <c r="E65" s="15">
        <v>10</v>
      </c>
      <c r="F65" s="15">
        <v>8</v>
      </c>
      <c r="G65" s="15">
        <v>11</v>
      </c>
      <c r="H65" s="15">
        <v>29</v>
      </c>
    </row>
    <row r="66" spans="2:17" x14ac:dyDescent="0.2">
      <c r="B66" t="s">
        <v>522</v>
      </c>
      <c r="C66" s="15">
        <v>2</v>
      </c>
      <c r="D66" s="15">
        <v>5</v>
      </c>
      <c r="E66" s="15">
        <v>76</v>
      </c>
      <c r="F66" s="15">
        <v>56</v>
      </c>
      <c r="G66" s="15">
        <v>71</v>
      </c>
      <c r="H66" s="15">
        <v>210</v>
      </c>
    </row>
    <row r="70" spans="2:17" x14ac:dyDescent="0.2">
      <c r="K70" s="5" t="s">
        <v>530</v>
      </c>
    </row>
    <row r="72" spans="2:17" x14ac:dyDescent="0.2">
      <c r="K72" s="7" t="s">
        <v>523</v>
      </c>
      <c r="L72" s="7" t="s">
        <v>520</v>
      </c>
    </row>
    <row r="73" spans="2:17" x14ac:dyDescent="0.2">
      <c r="K73" s="7" t="s">
        <v>525</v>
      </c>
      <c r="L73" t="s">
        <v>505</v>
      </c>
      <c r="M73" t="s">
        <v>521</v>
      </c>
      <c r="N73" t="s">
        <v>506</v>
      </c>
      <c r="O73" t="s">
        <v>507</v>
      </c>
      <c r="P73" t="s">
        <v>508</v>
      </c>
      <c r="Q73" s="8" t="s">
        <v>522</v>
      </c>
    </row>
    <row r="74" spans="2:17" x14ac:dyDescent="0.2">
      <c r="K74" t="s">
        <v>196</v>
      </c>
      <c r="L74" s="15"/>
      <c r="M74" s="15">
        <v>2</v>
      </c>
      <c r="N74" s="15"/>
      <c r="O74" s="15"/>
      <c r="P74" s="15">
        <v>7</v>
      </c>
      <c r="Q74" s="15">
        <v>9</v>
      </c>
    </row>
    <row r="75" spans="2:17" x14ac:dyDescent="0.2">
      <c r="K75" t="s">
        <v>124</v>
      </c>
      <c r="L75" s="15"/>
      <c r="M75" s="15">
        <v>4</v>
      </c>
      <c r="N75" s="15"/>
      <c r="O75" s="15">
        <v>1</v>
      </c>
      <c r="P75" s="15">
        <v>3</v>
      </c>
      <c r="Q75" s="15">
        <v>8</v>
      </c>
    </row>
    <row r="76" spans="2:17" x14ac:dyDescent="0.2">
      <c r="K76" t="s">
        <v>64</v>
      </c>
      <c r="L76" s="15">
        <v>1</v>
      </c>
      <c r="M76" s="15">
        <v>65</v>
      </c>
      <c r="N76" s="15">
        <v>9</v>
      </c>
      <c r="O76" s="15">
        <v>7</v>
      </c>
      <c r="P76" s="15">
        <v>82</v>
      </c>
      <c r="Q76" s="15">
        <v>164</v>
      </c>
    </row>
    <row r="77" spans="2:17" x14ac:dyDescent="0.2">
      <c r="K77" t="s">
        <v>55</v>
      </c>
      <c r="L77" s="15"/>
      <c r="M77" s="15">
        <v>14</v>
      </c>
      <c r="N77" s="15"/>
      <c r="O77" s="15">
        <v>3</v>
      </c>
      <c r="P77" s="15">
        <v>12</v>
      </c>
      <c r="Q77" s="15">
        <v>29</v>
      </c>
    </row>
    <row r="78" spans="2:17" x14ac:dyDescent="0.2">
      <c r="K78" t="s">
        <v>522</v>
      </c>
      <c r="L78" s="15">
        <v>1</v>
      </c>
      <c r="M78" s="15">
        <v>85</v>
      </c>
      <c r="N78" s="15">
        <v>9</v>
      </c>
      <c r="O78" s="15">
        <v>11</v>
      </c>
      <c r="P78" s="15">
        <v>104</v>
      </c>
      <c r="Q78" s="15">
        <v>210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80DB85-1A28-F549-9DA6-4C22F89436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HRDataset</vt:lpstr>
      <vt:lpstr>Demographic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 Dita Ariany</dc:creator>
  <cp:lastModifiedBy>Lina Dita Ariany</cp:lastModifiedBy>
  <dcterms:created xsi:type="dcterms:W3CDTF">2026-09-01T06:46:46Z</dcterms:created>
  <dcterms:modified xsi:type="dcterms:W3CDTF">2026-09-04T07:27:50Z</dcterms:modified>
</cp:coreProperties>
</file>